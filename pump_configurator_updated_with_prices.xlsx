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a3f00041a44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heet" sheetId="1" r:id="Rf9cfe10c97234526"/>
    <x:sheet xmlns:r="http://schemas.openxmlformats.org/officeDocument/2006/relationships" name="Seal Descriptions" sheetId="2" r:id="R6a5b2a0cad8e42fa"/>
    <x:sheet xmlns:r="http://schemas.openxmlformats.org/officeDocument/2006/relationships" name="Series Matrix" sheetId="3" r:id="Rdb16663eb5fd4e35"/>
    <x:sheet xmlns:r="http://schemas.openxmlformats.org/officeDocument/2006/relationships" name="Config Info" sheetId="4" r:id="R1ae023db1cb04a5e"/>
    <x:sheet xmlns:r="http://schemas.openxmlformats.org/officeDocument/2006/relationships" name="Formal Quote" sheetId="5" r:id="R81f45b3830ea4b5c"/>
    <x:sheet xmlns:r="http://schemas.openxmlformats.org/officeDocument/2006/relationships" name="Pricing" sheetId="6" r:id="R04697286139f4a22"/>
    <x:sheet xmlns:r="http://schemas.openxmlformats.org/officeDocument/2006/relationships" name="PX Configurator" sheetId="7" r:id="Rac286e4f7ca845cc"/>
    <x:sheet xmlns:r="http://schemas.openxmlformats.org/officeDocument/2006/relationships" name="Price Lists" sheetId="8" r:id="Rb12a7354a8b24c7e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Use the dropdown to select a valid series + size + seal configuration.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<x:sst xmlns:x="http://schemas.openxmlformats.org/spreadsheetml/2006/main">
  <x:si>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Pump Specification Sheet</x:t>
  </x:si>
  <x:si>
    <x:t xml:space="preserve">Configuration logic is driven by the Config Info sheet.
Select a Configuration ID below and linked pump/seal values populate automatically.</x:t>
  </x:si>
  <x:si>
    <x:t xml:space="preserve">Configuration ID</x:t>
  </x:si>
  <x:si>
    <x:t xml:space="preserve">PH2110 | 4x6x8.5 | Single Component | Type 21</x:t>
  </x:si>
  <x:si>
    <x:t xml:space="preserve">Pump Spec Number</x:t>
  </x:si>
  <x:si>
    <x:t xml:space="preserve">TEST</x:t>
  </x:si>
  <x:si>
    <x:t xml:space="preserve">Part Number</x:t>
  </x:si>
  <x:si>
    <x:t xml:space="preserve">P-2026-001</x:t>
  </x:si>
  <x:si>
    <x:t xml:space="preserve">Revision</x:t>
  </x:si>
  <x:si>
    <x:t xml:space="preserve">Date</x:t>
  </x:si>
  <x:si>
    <x:t xml:space="preserve">By</x:t>
  </x:si>
  <x:si>
    <x:t xml:space="preserve">Primary Pump Data</x:t>
  </x:si>
  <x:si>
    <x:t xml:space="preserve">Mechanical Seals</x:t>
  </x:si>
  <x:si>
    <x:t xml:space="preserve">Series</x:t>
  </x:si>
  <x:si>
    <x:t xml:space="preserve">Seal Option</x:t>
  </x:si>
  <x:si>
    <x:t xml:space="preserve">Included</x:t>
  </x:si>
  <x:si>
    <x:t xml:space="preserve">Size</x:t>
  </x:si>
  <x:si>
    <x:t xml:space="preserve">Seal Mfr.</x:t>
  </x:si>
  <x:si>
    <x:t xml:space="preserve">Dean</x:t>
  </x:si>
  <x:si>
    <x:t xml:space="preserve">Pump Material</x:t>
  </x:si>
  <x:si>
    <x:t xml:space="preserve">Seal Configuration</x:t>
  </x:si>
  <x:si>
    <x:t xml:space="preserve">Shaft Configuration</x:t>
  </x:si>
  <x:si>
    <x:t xml:space="preserve">Seal Type</x:t>
  </x:si>
  <x:si>
    <x:t xml:space="preserve">Casing Material</x:t>
  </x:si>
  <x:si>
    <x:t xml:space="preserve">Gland Type</x:t>
  </x:si>
  <x:si>
    <x:t xml:space="preserve">NONE</x:t>
  </x:si>
  <x:si>
    <x:t xml:space="preserve">Casing Drain</x:t>
  </x:si>
  <x:si>
    <x:t xml:space="preserve">Gland Gasket</x:t>
  </x:si>
  <x:si>
    <x:t xml:space="preserve">Casing Taps</x:t>
  </x:si>
  <x:si>
    <x:t xml:space="preserve">Shaft Sleeve Material</x:t>
  </x:si>
  <x:si>
    <x:t xml:space="preserve">Casing Gasket</x:t>
  </x:si>
  <x:si>
    <x:t xml:space="preserve">Inboard Rotating Face Material</x:t>
  </x:si>
  <x:si>
    <x:t xml:space="preserve">Flange Configuration</x:t>
  </x:si>
  <x:si>
    <x:t xml:space="preserve">Inboard Stationary Face Material</x:t>
  </x:si>
  <x:si>
    <x:t xml:space="preserve">Spot Facing</x:t>
  </x:si>
  <x:si>
    <x:t xml:space="preserve">Not Required</x:t>
  </x:si>
  <x:si>
    <x:t xml:space="preserve">Inboard Seal Elastomers</x:t>
  </x:si>
  <x:si>
    <x:t xml:space="preserve">Casing Wear Rings</x:t>
  </x:si>
  <x:si>
    <x:t xml:space="preserve">Outboard Rotating Face Material</x:t>
  </x:si>
  <x:si>
    <x:t xml:space="preserve">N/A</x:t>
  </x:si>
  <x:si>
    <x:t xml:space="preserve">Tack Weld Wear Rings</x:t>
  </x:si>
  <x:si>
    <x:t xml:space="preserve">Outboard Stationary Face Material</x:t>
  </x:si>
  <x:si>
    <x:t xml:space="preserve">Casing Mounting</x:t>
  </x:si>
  <x:si>
    <x:t xml:space="preserve">Outboard Seal Elastomers</x:t>
  </x:si>
  <x:si>
    <x:t xml:space="preserve">Hardware</x:t>
  </x:si>
  <x:si>
    <x:t xml:space="preserve">Seal Chamber Config</x:t>
  </x:si>
  <x:si>
    <x:t xml:space="preserve">Shipping Gasket</x:t>
  </x:si>
  <x:si>
    <x:t xml:space="preserve">Cradle Material</x:t>
  </x:si>
  <x:si>
    <x:t xml:space="preserve">Options</x:t>
  </x:si>
  <x:si>
    <x:t xml:space="preserve">Motor Options</x:t>
  </x:si>
  <x:si>
    <x:t xml:space="preserve">Coupling Type</x:t>
  </x:si>
  <x:si>
    <x:t xml:space="preserve">Motor Control</x:t>
  </x:si>
  <x:si>
    <x:t xml:space="preserve">Coupling Guard</x:t>
  </x:si>
  <x:si>
    <x:t xml:space="preserve">Steel</x:t>
  </x:si>
  <x:si>
    <x:t xml:space="preserve">Power [HP]</x:t>
  </x:si>
  <x:si>
    <x:t xml:space="preserve">Auxiliary Nameplate</x:t>
  </x:si>
  <x:si>
    <x:t xml:space="preserve">Speed</x:t>
  </x:si>
  <x:si>
    <x:t xml:space="preserve">Crating</x:t>
  </x:si>
  <x:si>
    <x:t xml:space="preserve">Standard</x:t>
  </x:si>
  <x:si>
    <x:t xml:space="preserve">Voltage</x:t>
  </x:si>
  <x:si>
    <x:t xml:space="preserve">Oiler Options</x:t>
  </x:si>
  <x:si>
    <x:t xml:space="preserve">Phase/Hertz</x:t>
  </x:si>
  <x:si>
    <x:t xml:space="preserve">3PH / 60Hz</x:t>
  </x:si>
  <x:si>
    <x:t xml:space="preserve">Bearing Frame Cooling</x:t>
  </x:si>
  <x:si>
    <x:t xml:space="preserve">Frame</x:t>
  </x:si>
  <x:si>
    <x:t xml:space="preserve">286T</x:t>
  </x:si>
  <x:si>
    <x:t xml:space="preserve">Lubrication Options</x:t>
  </x:si>
  <x:si>
    <x:t xml:space="preserve">Grease</x:t>
  </x:si>
  <x:si>
    <x:t xml:space="preserve">Enclosure</x:t>
  </x:si>
  <x:si>
    <x:t xml:space="preserve">TEFC</x:t>
  </x:si>
  <x:si>
    <x:t xml:space="preserve">Oil Seal</x:t>
  </x:si>
  <x:si>
    <x:t xml:space="preserve">Lip</x:t>
  </x:si>
  <x:si>
    <x:t xml:space="preserve">Efficiency</x:t>
  </x:si>
  <x:si>
    <x:t xml:space="preserve">Premium</x:t>
  </x:si>
  <x:si>
    <x:t xml:space="preserve">Sight Gauge</x:t>
  </x:si>
  <x:si>
    <x:t xml:space="preserve">C-Face Adapter Option</x:t>
  </x:si>
  <x:si>
    <x:t xml:space="preserve">Magnetic Drain</x:t>
  </x:si>
  <x:si>
    <x:t xml:space="preserve">Manufacturer</x:t>
  </x:si>
  <x:si>
    <x:t xml:space="preserve">Expansion Chamber</x:t>
  </x:si>
  <x:si>
    <x:t xml:space="preserve">SEAL</x:t>
  </x:si>
  <x:si>
    <x:t xml:space="preserve">Inboard Rotating Face</x:t>
  </x:si>
  <x:si>
    <x:t xml:space="preserve">Inboard Stationary Face</x:t>
  </x:si>
  <x:si>
    <x:t xml:space="preserve">Inboard Elastomer</x:t>
  </x:si>
  <x:si>
    <x:t xml:space="preserve">Outboard Rotating Face</x:t>
  </x:si>
  <x:si>
    <x:t xml:space="preserve">Outboard Stationary Face</x:t>
  </x:si>
  <x:si>
    <x:t xml:space="preserve">Outboard Elastomer</x:t>
  </x:si>
  <x:si>
    <x:t xml:space="preserve">Single Component</x:t>
  </x:si>
  <x:si>
    <x:t xml:space="preserve">SIU - Non-Pusher Elastomer Bellows Seal</x:t>
  </x:si>
  <x:si>
    <x:t xml:space="preserve">Carbon</x:t>
  </x:si>
  <x:si>
    <x:t xml:space="preserve">Silicon Carbide</x:t>
  </x:si>
  <x:si>
    <x:t xml:space="preserve">BUNA</x:t>
  </x:si>
  <x:si>
    <x:t xml:space="preserve">EPDM</x:t>
  </x:si>
  <x:si>
    <x:t xml:space="preserve">FKM</x:t>
  </x:si>
  <x:si>
    <x:t xml:space="preserve">AFLAS</x:t>
  </x:si>
  <x:si>
    <x:t xml:space="preserve">KALREZ</x:t>
  </x:si>
  <x:si>
    <x:t xml:space="preserve">Tungsten Carbide</x:t>
  </x:si>
  <x:si>
    <x:t xml:space="preserve">PTFE</x:t>
  </x:si>
  <x:si>
    <x:t xml:space="preserve">Ceramic</x:t>
  </x:si>
  <x:si>
    <x:t xml:space="preserve">Ni-Resist</x:t>
  </x:si>
  <x:si>
    <x:t xml:space="preserve">Type 21</x:t>
  </x:si>
  <x:si>
    <x:t xml:space="preserve">SERIES</x:t>
  </x:si>
  <x:si>
    <x:t xml:space="preserve">Deadline</x:t>
  </x:si>
  <x:si>
    <x:t xml:space="preserve">PH2110</x:t>
  </x:si>
  <x:si>
    <x:t xml:space="preserve">PH2140</x:t>
  </x:si>
  <x:si>
    <x:t xml:space="preserve">PH2170</x:t>
  </x:si>
  <x:si>
    <x:t xml:space="preserve">PH3170</x:t>
  </x:si>
  <x:si>
    <x:t xml:space="preserve">PH2180</x:t>
  </x:si>
  <x:si>
    <x:t xml:space="preserve">PHP2110</x:t>
  </x:si>
  <x:si>
    <x:t xml:space="preserve">PHP2140</x:t>
  </x:si>
  <x:si>
    <x:t xml:space="preserve">RA2096</x:t>
  </x:si>
  <x:si>
    <x:t xml:space="preserve">RA3146</x:t>
  </x:si>
  <x:si>
    <x:t xml:space="preserve">RA3186</x:t>
  </x:si>
  <x:si>
    <x:t xml:space="preserve">RA3246</x:t>
  </x:si>
  <x:si>
    <x:t xml:space="preserve">RWA2096</x:t>
  </x:si>
  <x:si>
    <x:t xml:space="preserve">RWA4166</x:t>
  </x:si>
  <x:si>
    <x:t xml:space="preserve">RWA4206</x:t>
  </x:si>
  <x:si>
    <x:t xml:space="preserve">RAV3096</x:t>
  </x:si>
  <x:si>
    <x:t xml:space="preserve">RAV3146</x:t>
  </x:si>
  <x:si>
    <x:t xml:space="preserve">RAV4096</x:t>
  </x:si>
  <x:si>
    <x:t xml:space="preserve">Recommended HP</x:t>
  </x:si>
  <x:si>
    <x:t xml:space="preserve">Notes</x:t>
  </x:si>
  <x:si>
    <x:t xml:space="preserve">4x6x8.5</x:t>
  </x:si>
  <x:si>
    <x:t xml:space="preserve">(22) Ductile Iron</x:t>
  </x:si>
  <x:si>
    <x:t xml:space="preserve">STL W/SLV</x:t>
  </x:si>
  <x:si>
    <x:t xml:space="preserve">NPT Plug</x:t>
  </x:si>
  <x:si>
    <x:t xml:space="preserve">Discharge Tap</x:t>
  </x:si>
  <x:si>
    <x:t xml:space="preserve">Grafoil</x:t>
  </x:si>
  <x:si>
    <x:t xml:space="preserve">300# Raised</x:t>
  </x:si>
  <x:si>
    <x:t xml:space="preserve">Hard Iron</x:t>
  </x:si>
  <x:si>
    <x:t xml:space="preserve">1750 RPM</x:t>
  </x:si>
  <x:si>
    <x:t xml:space="preserve">460V</x:t>
  </x:si>
  <x:si>
    <x:t xml:space="preserve">Closest match from visible image</x:t>
  </x:si>
  <x:si>
    <x:t xml:space="preserve">PH2140 | 3x4x6 | Single Component | Type 21</x:t>
  </x:si>
  <x:si>
    <x:t xml:space="preserve">3x4x6</x:t>
  </x:si>
  <x:si>
    <x:t xml:space="preserve">Cast Iron</x:t>
  </x:si>
  <x:si>
    <x:t xml:space="preserve">150# Raised</x:t>
  </x:si>
  <x:si>
    <x:t xml:space="preserve">Bronze</x:t>
  </x:si>
  <x:si>
    <x:t xml:space="preserve">Representative option</x:t>
  </x:si>
  <x:si>
    <x:t xml:space="preserve">PH2170 | 4x6x10 | Single Component | Type 21</x:t>
  </x:si>
  <x:si>
    <x:t xml:space="preserve">4x6x10</x:t>
  </x:si>
  <x:si>
    <x:t xml:space="preserve">Ductile Iron</x:t>
  </x:si>
  <x:si>
    <x:t xml:space="preserve">PH3170 | 6x8x11 | Single Component | Type 21</x:t>
  </x:si>
  <x:si>
    <x:t xml:space="preserve">6x8x11</x:t>
  </x:si>
  <x:si>
    <x:t xml:space="preserve">PH2180 | 8x10x13 | Single Component | Type 21</x:t>
  </x:si>
  <x:si>
    <x:t xml:space="preserve">8x10x13</x:t>
  </x:si>
  <x:si>
    <x:t xml:space="preserve">PHP2110 | 4x6x8.5 | Single Component | Type 21</x:t>
  </x:si>
  <x:si>
    <x:t xml:space="preserve">Process pump option</x:t>
  </x:si>
  <x:si>
    <x:t xml:space="preserve">PHP2140 | 6x8x11 | Single Component | Type 21</x:t>
  </x:si>
  <x:si>
    <x:t xml:space="preserve">RA2096 | 3x4x6 | Single Component | Type 21</x:t>
  </x:si>
  <x:si>
    <x:t xml:space="preserve">RA3146 | 4x6x8.5 | Single Component | Type 21</x:t>
  </x:si>
  <x:si>
    <x:t xml:space="preserve">RA3186 | 6x8x11 | Single Component | Type 21</x:t>
  </x:si>
  <x:si>
    <x:t xml:space="preserve">RA3246 | 8x10x13 | Single Component | Type 21</x:t>
  </x:si>
  <x:si>
    <x:t xml:space="preserve">RWA2096 | 3x4x6 | Single Component | Type 21</x:t>
  </x:si>
  <x:si>
    <x:t xml:space="preserve">Water option</x:t>
  </x:si>
  <x:si>
    <x:t xml:space="preserve">RWA4166 | 4x6x8.5 | Single Component | Type 21</x:t>
  </x:si>
  <x:si>
    <x:t xml:space="preserve">RWA4206 | 6x8x11 | Single Component | Type 21</x:t>
  </x:si>
  <x:si>
    <x:t xml:space="preserve">RAV3096 | 3x4x6 | Single Component | Type 21</x:t>
  </x:si>
  <x:si>
    <x:t xml:space="preserve">RAV3146 | 4x6x8.5 | Single Component | Type 21</x:t>
  </x:si>
  <x:si>
    <x:t xml:space="preserve">RAV4096 | 6x8x11 | Single Component | Type 21</x:t>
  </x:si>
</x:sst>
</file>

<file path=xl/styles.xml><?xml version="1.0" encoding="utf-8"?>
<x:styleSheet xmlns:x="http://schemas.openxmlformats.org/spreadsheetml/2006/main">
  <x:numFmts count="4">
    <x:numFmt numFmtId="164" formatCode="\$#,##0"/>
    <x:numFmt numFmtId="200" formatCode="$#,##0.00"/>
    <x:numFmt numFmtId="201" formatCode="yyyy-mm-dd"/>
    <x:numFmt numFmtId="202" formatCode="0.0%"/>
  </x:numFmts>
  <x:fonts count="12">
    <x:font>
      <x:sz val="11"/>
      <x:color theme="1"/>
      <x:name val="Calibri"/>
    </x:font>
    <x:font>
      <x:b/>
      <x:sz val="11"/>
      <x:color rgb="FFFFFF"/>
      <x:name val="Calibri"/>
    </x:font>
    <x:font>
      <x:b/>
      <x:sz val="20"/>
      <x:name val="Calibri"/>
    </x:font>
    <x:font>
      <x:b/>
      <x:sz val="11"/>
      <x:name val="Calibri"/>
    </x:font>
    <x:font>
      <x:b/>
      <x:sz val="14"/>
      <x:name val="Calibri"/>
    </x:font>
    <x:font>
      <x:sz val="11"/>
      <x:color rgb="008000"/>
      <x:name val="Calibri"/>
    </x:font>
    <x:font>
      <x:sz val="11"/>
      <x:color rgb="0000FF"/>
      <x:name val="Calibri"/>
    </x:font>
    <x:font>
      <x:b/>
      <x:sz val="16"/>
      <x:name val="Calibri"/>
    </x:font>
    <x:font>
      <x:b/>
      <x:sz val="16"/>
      <x:color rgb="FFFFFF"/>
      <x:name val="Calibri"/>
    </x:font>
    <x:font>
      <x:b/>
      <x:sz val="11"/>
      <x:color theme="1"/>
      <x:name val="Calibri"/>
    </x:font>
    <x:font>
      <x:b/>
      <x:sz val="11"/>
      <x:color rgb="006100"/>
      <x:name val="Calibri"/>
    </x:font>
    <x:font>
      <x:b/>
      <x:sz val="14"/>
      <x:color rgb="FFFFFF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E7E6E6"/>
      </x:patternFill>
    </x:fill>
    <x:fill>
      <x:patternFill patternType="solid">
        <x:fgColor rgb="D9EAF7"/>
      </x:patternFill>
    </x:fill>
    <x:fill>
      <x:patternFill patternType="solid">
        <x:fgColor rgb="E06666"/>
      </x:patternFill>
    </x:fill>
    <x:fill>
      <x:patternFill patternType="solid">
        <x:fgColor rgb="DDEBF7"/>
      </x:patternFill>
    </x:fill>
    <x:fill>
      <x:patternFill patternType="solid">
        <x:fgColor rgb="1F4E78"/>
      </x:patternFill>
    </x:fill>
    <x:fill>
      <x:patternFill patternType="solid">
        <x:fgColor rgb="DDEBF7"/>
      </x:patternFill>
    </x:fill>
    <x:fill>
      <x:patternFill patternType="solid">
        <x:fgColor rgb="E2F0D9"/>
      </x:patternFill>
    </x:fill>
    <x:fill>
      <x:patternFill patternType="solid">
        <x:fgColor rgb="C6EFCE"/>
      </x:patternFill>
    </x:fill>
    <x:fill>
      <x:patternFill patternType="solid">
        <x:fgColor rgb="FFF2CC"/>
      </x:patternFill>
    </x:fill>
  </x:fills>
  <x:borders count="4">
    <x:border/>
    <x:border>
      <x:left style="thin">
        <x:color rgb="A6A6A6"/>
      </x:left>
      <x:right style="thin">
        <x:color rgb="A6A6A6"/>
      </x:right>
      <x:top style="thin">
        <x:color rgb="A6A6A6"/>
      </x:top>
      <x:bottom style="thin">
        <x:color rgb="A6A6A6"/>
      </x:bottom>
    </x:border>
    <x:border/>
    <x:border>
      <x:left style="thin">
        <x:color rgb="A6A6A6"/>
      </x:left>
      <x:right style="thin">
        <x:color rgb="A6A6A6"/>
      </x:right>
      <x:top style="thin">
        <x:color rgb="A6A6A6"/>
      </x:top>
      <x:bottom style="thin">
        <x:color rgb="A6A6A6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3" fillId="0" borderId="0" xfId="0" applyFont="1"/>
    <x:xf numFmtId="0" fontId="0" fillId="4" borderId="0" xfId="0" applyFill="1"/>
    <x:xf numFmtId="0" fontId="3" fillId="5" borderId="1" xfId="0" applyFont="1" applyFill="1" applyBorder="1"/>
    <x:xf numFmtId="0" fontId="0" fillId="4" borderId="1" xfId="0" applyFill="1" applyBorder="1"/>
    <x:xf numFmtId="0" fontId="0" fillId="0" borderId="1" xfId="0" applyBorder="1" applyAlignment="1">
      <x:alignment horizontal="left" vertical="center" wrapText="1"/>
    </x:xf>
    <x:xf numFmtId="0" fontId="5" fillId="0" borderId="1" xfId="0" applyFont="1" applyBorder="1" applyAlignment="1">
      <x:alignment horizontal="left" vertical="center" wrapText="1"/>
    </x:xf>
    <x:xf numFmtId="0" fontId="6" fillId="0" borderId="1" xfId="0" applyFont="1" applyBorder="1" applyAlignment="1">
      <x:alignment horizontal="left" vertical="center" wrapText="1"/>
    </x:xf>
    <x:xf numFmtId="0" fontId="1" fillId="7" borderId="1" xfId="0" applyFont="1" applyFill="1" applyBorder="1" applyAlignment="1">
      <x:alignment horizontal="left" vertical="center" wrapText="1"/>
    </x:xf>
    <x:xf numFmtId="0" fontId="7" fillId="0" borderId="0" xfId="0" applyFont="1"/>
    <x:xf numFmtId="0" fontId="3" fillId="6" borderId="1" xfId="0" applyFont="1" applyFill="1" applyBorder="1" applyAlignment="1">
      <x:alignment horizontal="center" vertical="center" wrapText="1"/>
    </x:xf>
    <x:xf numFmtId="0" fontId="0" fillId="8" borderId="1" xfId="0" applyFill="1" applyBorder="1" applyAlignment="1">
      <x:alignment horizontal="left" vertical="center" wrapText="1"/>
    </x:xf>
    <x:xf numFmtId="0" fontId="0" fillId="3" borderId="1" xfId="0" applyFill="1" applyBorder="1" applyAlignment="1">
      <x:alignment horizontal="left" vertical="center" wrapText="1"/>
    </x:xf>
    <x:xf numFmtId="0" fontId="0" fillId="0" borderId="1" xfId="0" applyBorder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/>
    <x:xf numFmtId="0" fontId="3" fillId="0" borderId="1" xfId="0" applyFont="1" applyBorder="1"/>
    <x:xf numFmtId="0" fontId="0" fillId="0" borderId="1" xfId="0" applyBorder="1"/>
    <x:xf numFmtId="164" fontId="0" fillId="0" borderId="1" xfId="0" applyNumberFormat="1" applyBorder="1"/>
    <x:xf numFmtId="0" fontId="2" fillId="0" borderId="0" xfId="0" applyFont="1" applyAlignment="1">
      <x:alignment horizontal="center" vertical="center" wrapText="1"/>
    </x:xf>
    <x:xf numFmtId="0" fontId="0" fillId="0" borderId="0" xfId="0"/>
    <x:xf numFmtId="0" fontId="4" fillId="6" borderId="0" xfId="0" applyFont="1" applyFill="1"/>
    <x:xf numFmtId="0" fontId="0" fillId="3" borderId="0" xfId="0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0" fillId="4" borderId="2" xfId="0" applyNumberFormat="1" applyFont="1" applyFill="1" applyBorder="1"/>
    <x:xf numFmtId="0" fontId="3" fillId="5" borderId="3" xfId="0" applyNumberFormat="1" applyFont="1" applyFill="1" applyBorder="1"/>
    <x:xf numFmtId="0" fontId="0" fillId="4" borderId="3" xfId="0" applyNumberFormat="1" applyFont="1" applyFill="1" applyBorder="1"/>
    <x:xf numFmtId="0" fontId="0" fillId="0" borderId="3" xfId="0" applyNumberFormat="1" applyFont="1" applyFill="1" applyBorder="1" applyAlignment="1">
      <x:alignment horizontal="left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0" fontId="6" fillId="0" borderId="3" xfId="0" applyNumberFormat="1" applyFont="1" applyFill="1" applyBorder="1" applyAlignment="1">
      <x:alignment horizontal="left" vertical="center" wrapText="1"/>
    </x:xf>
    <x:xf numFmtId="0" fontId="1" fillId="7" borderId="3" xfId="0" applyNumberFormat="1" applyFont="1" applyFill="1" applyBorder="1" applyAlignment="1">
      <x:alignment horizontal="left" vertical="center" wrapText="1"/>
    </x:xf>
    <x:xf numFmtId="0" fontId="7" fillId="0" borderId="2" xfId="0" applyNumberFormat="1" applyFont="1" applyFill="1" applyBorder="1"/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left" vertical="center" wrapText="1"/>
    </x:xf>
    <x:xf numFmtId="0" fontId="0" fillId="3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164" fontId="0" fillId="0" borderId="3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/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0" fillId="9" borderId="2" xfId="0" applyNumberFormat="1" applyFont="1" applyFill="1" applyBorder="1"/>
    <x:xf numFmtId="0" fontId="1" fillId="9" borderId="2" xfId="0" applyNumberFormat="1" applyFont="1" applyFill="1" applyBorder="1"/>
    <x:xf numFmtId="0" fontId="1" fillId="9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2" xfId="0" applyNumberFormat="1" applyFont="1" applyFill="1" applyBorder="1"/>
    <x:xf numFmtId="0" fontId="8" fillId="9" borderId="2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10" borderId="2" xfId="0" applyNumberFormat="1" applyFont="1" applyFill="1" applyBorder="1"/>
    <x:xf numFmtId="0" fontId="9" fillId="1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9" borderId="0" xfId="0" applyNumberFormat="1" applyFont="1" applyFill="1" applyBorder="1"/>
    <x:xf numFmtId="0" fontId="9" fillId="9" borderId="2" xfId="0" applyNumberFormat="1" applyFont="1" applyFill="1" applyBorder="1"/>
    <x:xf numFmtId="200" fontId="1" fillId="9" borderId="0" xfId="0" applyNumberFormat="1" applyFont="1" applyFill="1" applyBorder="1"/>
    <x:xf numFmtId="200" fontId="1" fillId="9" borderId="2" xfId="0" applyNumberFormat="1" applyFont="1" applyFill="1" applyBorder="1"/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0" fillId="12" borderId="2" xfId="0" applyNumberFormat="1" applyFont="1" applyFill="1" applyBorder="1"/>
    <x:xf numFmtId="0" fontId="10" fillId="12" borderId="2" xfId="0" applyNumberFormat="1" applyFont="1" applyFill="1" applyBorder="1"/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0" fillId="13" borderId="2" xfId="0" applyNumberFormat="1" applyFont="1" applyFill="1" applyBorder="1"/>
    <x:xf numFmtId="0" fontId="9" fillId="13" borderId="2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11" fillId="9" borderId="2" xfId="0" applyNumberFormat="1" applyFont="1" applyFill="1" applyBorder="1"/>
    <x:xf numFmtId="0" fontId="11" fillId="9" borderId="2" xfId="0" applyNumberFormat="1" applyFont="1" applyFill="1" applyBorder="1" applyAlignment="1">
      <x:alignment horizontal="center"/>
    </x:xf>
    <x:xf numFmtId="200" fontId="3" fillId="0" borderId="1" xfId="0" applyNumberFormat="1" applyFont="1" applyFill="1" applyBorder="1"/>
    <x:xf numFmtId="200" fontId="3" fillId="0" borderId="3" xfId="0" applyNumberFormat="1" applyFont="1" applyFill="1" applyBorder="1"/>
    <x:xf numFmtId="201" fontId="3" fillId="0" borderId="1" xfId="0" applyNumberFormat="1" applyFont="1" applyFill="1" applyBorder="1"/>
    <x:xf numFmtId="201" fontId="3" fillId="0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6eb2c88e74b70" /><Relationship Type="http://schemas.openxmlformats.org/officeDocument/2006/relationships/theme" Target="/xl/theme/theme1.xml" Id="Rc0b0e1bd10c1492b" /><Relationship Type="http://schemas.openxmlformats.org/officeDocument/2006/relationships/sharedStrings" Target="/xl/sharedStrings.xml" Id="R984315e754194d81" /><Relationship Type="http://schemas.openxmlformats.org/officeDocument/2006/relationships/worksheet" Target="/xl/worksheets/sheet1.xml" Id="Rf9cfe10c97234526" /><Relationship Type="http://schemas.openxmlformats.org/officeDocument/2006/relationships/worksheet" Target="/xl/worksheets/sheet2.xml" Id="R6a5b2a0cad8e42fa" /><Relationship Type="http://schemas.openxmlformats.org/officeDocument/2006/relationships/worksheet" Target="/xl/worksheets/sheet3.xml" Id="Rdb16663eb5fd4e35" /><Relationship Type="http://schemas.openxmlformats.org/officeDocument/2006/relationships/worksheet" Target="/xl/worksheets/sheet4.xml" Id="R1ae023db1cb04a5e" /><Relationship Type="http://schemas.openxmlformats.org/officeDocument/2006/relationships/worksheet" Target="/xl/worksheets/sheet5.xml" Id="R81f45b3830ea4b5c" /><Relationship Type="http://schemas.openxmlformats.org/officeDocument/2006/relationships/worksheet" Target="/xl/worksheets/sheet6.xml" Id="R04697286139f4a22" /><Relationship Type="http://schemas.openxmlformats.org/officeDocument/2006/relationships/worksheet" Target="/xl/worksheets/sheet7.xml" Id="Rac286e4f7ca845cc" /><Relationship Type="http://schemas.openxmlformats.org/officeDocument/2006/relationships/worksheet" Target="/xl/worksheets/sheet8.xml" Id="Rb12a7354a8b24c7e" /><Relationship Type="http://schemas.microsoft.com/office/2017/10/relationships/person" Target="/xl/persons/person.xml" Id="R0ed185086e3641cf" /></Relationships>
</file>

<file path=xl/persons/person.xml><?xml version="1.0" encoding="utf-8"?>
<xltc:personList xmlns:xltc="http://schemas.microsoft.com/office/spreadsheetml/2018/threadedcomments">
  <xltc:person displayName="OpenAI" id="{620874E1-C963-C903-6C41-C8E3F5F8D536}"/>
</xltc:personList>
</file>

<file path=xl/tables/table1.xml><?xml version="1.0" encoding="utf-8"?>
<x:table xmlns:x="http://schemas.openxmlformats.org/spreadsheetml/2006/main" id="1" name="BasePriceTable" displayName="BasePriceTable" ref="A1:D10" headerRowCount="1">
  <x:tableColumns count="4">
    <x:tableColumn id="1" name="Key"/>
    <x:tableColumn id="2" name="Product Family"/>
    <x:tableColumn id="3" name="Size"/>
    <x:tableColumn id="4" name="Base Price"/>
  </x:tableColumns>
  <x:tableStyleInfo name="TableStyleMedium2" showRowStripes="1"/>
</x:table>
</file>

<file path=xl/tables/table2.xml><?xml version="1.0" encoding="utf-8"?>
<x:table xmlns:x="http://schemas.openxmlformats.org/spreadsheetml/2006/main" id="2" name="OptionPriceTable" displayName="OptionPriceTable" ref="F1:I21" headerRowCount="1">
  <x:tableColumns count="4">
    <x:tableColumn id="1" name="Key"/>
    <x:tableColumn id="2" name="Field"/>
    <x:tableColumn id="3" name="Option"/>
    <x:tableColumn id="4" name="Option Pric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8400ac944fe472b" /><Relationship Type="http://schemas.openxmlformats.org/officeDocument/2006/relationships/vmlDrawing" Target="/xl/drawings/vmldrawing.vml" Id="R833793cb3f6b4a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63ca9e4f3f794e7f" /><Relationship Type="http://schemas.openxmlformats.org/officeDocument/2006/relationships/table" Target="/xl/tables/table2.xml" Id="Rd90ea1feb7874f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3" customWidth="1"/>
    <x:col min="2" max="2" width="8" customWidth="1"/>
    <x:col min="3" max="3" width="32" customWidth="1"/>
    <x:col min="4" max="4" width="3" customWidth="1"/>
    <x:col min="5" max="5" width="26" customWidth="1"/>
    <x:col min="6" max="6" width="3" customWidth="1"/>
    <x:col min="7" max="7" width="34" customWidth="1"/>
    <x:col min="8" max="8" width="3" customWidth="1"/>
    <x:col min="9" max="9" width="28" customWidth="1"/>
    <x:col min="10" max="10" width="3" customWidth="1"/>
    <x:col min="11" max="11" width="8" customWidth="1"/>
    <x:col min="12" max="12" width="30" customWidth="1"/>
    <x:col min="13" max="15" width="20" customWidth="1"/>
  </x:cols>
  <x:sheetData>
    <x:row r="1" ht="20" customHeight="1"/>
    <x:row r="2" ht="20" customHeight="1">
      <x:c r="B2" s="19" t="s">
        <x:v>0</x:v>
      </x:c>
      <x:c r="C2" s="20"/>
      <x:c r="D2" s="20"/>
      <x:c r="E2" s="20"/>
      <x:c r="F2" s="20"/>
      <x:c r="G2" s="20"/>
      <x:c r="H2" s="20"/>
      <x:c r="I2" s="20"/>
      <x:c r="J2" s="20"/>
      <x:c r="L2" s="22" t="s">
        <x:v>1</x:v>
      </x:c>
      <x:c r="M2" s="20"/>
      <x:c r="N2" s="20"/>
      <x:c r="O2" s="20"/>
    </x:row>
    <x:row r="3" ht="20" customHeight="1">
      <x:c r="B3" s="20"/>
      <x:c r="C3" s="20"/>
      <x:c r="D3" s="20"/>
      <x:c r="E3" s="20"/>
      <x:c r="F3" s="20"/>
      <x:c r="G3" s="20"/>
      <x:c r="H3" s="20"/>
      <x:c r="I3" s="20"/>
      <x:c r="J3" s="20"/>
      <x:c r="L3" s="20"/>
      <x:c r="M3" s="20"/>
      <x:c r="N3" s="20"/>
      <x:c r="O3" s="20"/>
    </x:row>
    <x:row r="4" ht="20" customHeight="1">
      <x:c r="L4" s="20"/>
      <x:c r="M4" s="20"/>
      <x:c r="N4" s="20"/>
      <x:c r="O4" s="20"/>
    </x:row>
    <x:row r="5" ht="20" customHeight="1">
      <x:c r="B5" s="1" t="s">
        <x:v>2</x:v>
      </x:c>
      <x:c r="C5" s="2" t="s">
        <x:v>3</x:v>
      </x:c>
    </x:row>
    <x:row r="6" ht="20" customHeight="1">
      <x:c r="B6" s="3" t="s">
        <x:v>4</x:v>
      </x:c>
      <x:c r="C6" s="4" t="s">
        <x:v>5</x:v>
      </x:c>
    </x:row>
    <x:row r="7" ht="20" customHeight="1">
      <x:c r="B7" s="3" t="s">
        <x:v>6</x:v>
      </x:c>
      <x:c r="C7" s="4" t="s">
        <x:v>7</x:v>
      </x:c>
    </x:row>
    <x:row r="8" ht="20" customHeight="1">
      <x:c r="B8" s="3" t="s">
        <x:v>8</x:v>
      </x:c>
      <x:c r="C8" s="4"/>
    </x:row>
    <x:row r="9" ht="20" customHeight="1">
      <x:c r="B9" s="3" t="s">
        <x:v>9</x:v>
      </x:c>
      <x:c r="C9" s="4"/>
    </x:row>
    <x:row r="10" ht="20" customHeight="1">
      <x:c r="B10" s="3" t="s">
        <x:v>10</x:v>
      </x:c>
      <x:c r="C10" s="4"/>
    </x:row>
    <x:row r="11" ht="20" customHeight="1"/>
    <x:row r="12" ht="20" customHeight="1">
      <x:c r="B12" s="21" t="s">
        <x:v>11</x:v>
      </x:c>
      <x:c r="C12" s="20"/>
      <x:c r="D12" s="20"/>
      <x:c r="E12" s="20"/>
      <x:c r="F12" s="20"/>
      <x:c r="G12" s="21" t="s">
        <x:v>12</x:v>
      </x:c>
      <x:c r="H12" s="20"/>
      <x:c r="I12" s="20"/>
      <x:c r="J12" s="20"/>
      <x:c r="K12" s="20"/>
    </x:row>
    <x:row r="13" ht="20" customHeight="1"/>
    <x:row r="14" ht="20" customHeight="1">
      <x:c r="B14" s="5">
        <x:v>1</x:v>
      </x:c>
      <x:c r="C14" s="5" t="s">
        <x:v>13</x:v>
      </x:c>
      <x:c r="E14" s="6" t="str">
        <x:f>IFERROR(VLOOKUP($C$5,'Config Info'!$A:$T,2,FALSE),"")</x:f>
        <x:v>PH2110</x:v>
      </x:c>
      <x:c r="G14" s="5" t="s">
        <x:v>14</x:v>
      </x:c>
      <x:c r="I14" s="7" t="s">
        <x:v>15</x:v>
      </x:c>
      <x:c r="K14" s="5">
        <x:v>55</x:v>
      </x:c>
    </x:row>
    <x:row r="15" ht="20" customHeight="1">
      <x:c r="B15" s="5">
        <x:v>2</x:v>
      </x:c>
      <x:c r="C15" s="5" t="s">
        <x:v>16</x:v>
      </x:c>
      <x:c r="E15" s="8" t="str">
        <x:f>IFERROR(VLOOKUP($C$5,'Config Info'!$A:$T,3,FALSE),"")</x:f>
        <x:v>4x6x8.5</x:v>
      </x:c>
      <x:c r="G15" s="5" t="s">
        <x:v>17</x:v>
      </x:c>
      <x:c r="I15" s="7" t="s">
        <x:v>18</x:v>
      </x:c>
      <x:c r="K15" s="5">
        <x:v>56</x:v>
      </x:c>
    </x:row>
    <x:row r="16" ht="20" customHeight="1">
      <x:c r="B16" s="5">
        <x:v>3</x:v>
      </x:c>
      <x:c r="C16" s="5" t="s">
        <x:v>19</x:v>
      </x:c>
      <x:c r="E16" s="6" t="str">
        <x:f>IFERROR(VLOOKUP($C$5,'Config Info'!$A:$T,4,FALSE),"")</x:f>
        <x:v>(22) Ductile Iron</x:v>
      </x:c>
      <x:c r="G16" s="5" t="s">
        <x:v>20</x:v>
      </x:c>
      <x:c r="I16" s="6" t="str">
        <x:f>IFERROR(VLOOKUP($C$5,'Config Info'!$A:$T,12,FALSE),"")</x:f>
        <x:v>Single Component</x:v>
      </x:c>
      <x:c r="K16" s="5">
        <x:v>57</x:v>
      </x:c>
    </x:row>
    <x:row r="17" ht="20" customHeight="1">
      <x:c r="B17" s="5">
        <x:v>4</x:v>
      </x:c>
      <x:c r="C17" s="5" t="s">
        <x:v>21</x:v>
      </x:c>
      <x:c r="E17" s="6" t="str">
        <x:f>IFERROR(VLOOKUP($C$5,'Config Info'!$A:$T,5,FALSE),"")</x:f>
        <x:v>STL W/SLV</x:v>
      </x:c>
      <x:c r="G17" s="5" t="s">
        <x:v>22</x:v>
      </x:c>
      <x:c r="I17" s="6" t="str">
        <x:f>IFERROR(VLOOKUP($C$5,'Config Info'!$A:$T,13,FALSE),"")</x:f>
        <x:v>Type 21</x:v>
      </x:c>
      <x:c r="K17" s="5">
        <x:v>58</x:v>
      </x:c>
    </x:row>
    <x:row r="18" ht="20" customHeight="1">
      <x:c r="B18" s="5">
        <x:v>5</x:v>
      </x:c>
      <x:c r="C18" s="5" t="s">
        <x:v>23</x:v>
      </x:c>
      <x:c r="E18" s="6" t="str">
        <x:f>IFERROR(VLOOKUP($C$5,'Config Info'!$A:$T,6,FALSE),"")</x:f>
        <x:v>(22) Ductile Iron</x:v>
      </x:c>
      <x:c r="G18" s="5" t="s">
        <x:v>24</x:v>
      </x:c>
      <x:c r="I18" s="7" t="s">
        <x:v>25</x:v>
      </x:c>
      <x:c r="K18" s="5">
        <x:v>59</x:v>
      </x:c>
    </x:row>
    <x:row r="19" ht="20" customHeight="1">
      <x:c r="B19" s="5">
        <x:v>6</x:v>
      </x:c>
      <x:c r="C19" s="5" t="s">
        <x:v>26</x:v>
      </x:c>
      <x:c r="E19" s="6" t="str">
        <x:f>IFERROR(VLOOKUP($C$5,'Config Info'!$A:$T,7,FALSE),"")</x:f>
        <x:v>NPT Plug</x:v>
      </x:c>
      <x:c r="G19" s="5" t="s">
        <x:v>27</x:v>
      </x:c>
      <x:c r="I19" s="7" t="s">
        <x:v>25</x:v>
      </x:c>
      <x:c r="K19" s="5">
        <x:v>60</x:v>
      </x:c>
    </x:row>
    <x:row r="20" ht="20" customHeight="1">
      <x:c r="B20" s="5">
        <x:v>7</x:v>
      </x:c>
      <x:c r="C20" s="5" t="s">
        <x:v>28</x:v>
      </x:c>
      <x:c r="E20" s="8" t="str">
        <x:f>IFERROR(VLOOKUP($C$5,'Config Info'!$A:$T,8,FALSE),"")</x:f>
        <x:v>Discharge Tap</x:v>
      </x:c>
      <x:c r="G20" s="5" t="s">
        <x:v>29</x:v>
      </x:c>
      <x:c r="I20" s="7" t="s">
        <x:v>25</x:v>
      </x:c>
      <x:c r="K20" s="5">
        <x:v>61</x:v>
      </x:c>
    </x:row>
    <x:row r="21" ht="20" customHeight="1">
      <x:c r="B21" s="5">
        <x:v>8</x:v>
      </x:c>
      <x:c r="C21" s="5" t="s">
        <x:v>30</x:v>
      </x:c>
      <x:c r="E21" s="8" t="str">
        <x:f>IFERROR(VLOOKUP($C$5,'Config Info'!$A:$T,9,FALSE),"")</x:f>
        <x:v>Grafoil</x:v>
      </x:c>
      <x:c r="G21" s="5" t="s">
        <x:v>31</x:v>
      </x:c>
      <x:c r="I21" s="6" t="str">
        <x:f>IFERROR(VLOOKUP($C$5,'Config Info'!$A:$T,14,FALSE),"")</x:f>
        <x:v>Carbon</x:v>
      </x:c>
      <x:c r="K21" s="5">
        <x:v>62</x:v>
      </x:c>
    </x:row>
    <x:row r="22" ht="20" customHeight="1">
      <x:c r="B22" s="5">
        <x:v>9</x:v>
      </x:c>
      <x:c r="C22" s="5" t="s">
        <x:v>32</x:v>
      </x:c>
      <x:c r="E22" s="8" t="str">
        <x:f>IFERROR(VLOOKUP($C$5,'Config Info'!$A:$T,10,FALSE),"")</x:f>
        <x:v>300# Raised</x:v>
      </x:c>
      <x:c r="G22" s="5" t="s">
        <x:v>33</x:v>
      </x:c>
      <x:c r="I22" s="6" t="str">
        <x:f>IFERROR(VLOOKUP($C$5,'Config Info'!$A:$T,15,FALSE),"")</x:f>
        <x:v>Tungsten Carbide</x:v>
      </x:c>
      <x:c r="K22" s="5">
        <x:v>63</x:v>
      </x:c>
    </x:row>
    <x:row r="23" ht="20" customHeight="1">
      <x:c r="B23" s="5">
        <x:v>10</x:v>
      </x:c>
      <x:c r="C23" s="5" t="s">
        <x:v>34</x:v>
      </x:c>
      <x:c r="E23" s="7" t="s">
        <x:v>35</x:v>
      </x:c>
      <x:c r="G23" s="5" t="s">
        <x:v>36</x:v>
      </x:c>
      <x:c r="I23" s="6" t="str">
        <x:f>IFERROR(VLOOKUP($C$5,'Config Info'!$A:$T,16,FALSE),"")</x:f>
        <x:v>FKM</x:v>
      </x:c>
      <x:c r="K23" s="5">
        <x:v>64</x:v>
      </x:c>
    </x:row>
    <x:row r="24" ht="20" customHeight="1">
      <x:c r="B24" s="5">
        <x:v>11</x:v>
      </x:c>
      <x:c r="C24" s="5" t="s">
        <x:v>37</x:v>
      </x:c>
      <x:c r="E24" s="8" t="str">
        <x:f>IFERROR(VLOOKUP($C$5,'Config Info'!$A:$T,11,FALSE),"")</x:f>
        <x:v>Hard Iron</x:v>
      </x:c>
      <x:c r="G24" s="5" t="s">
        <x:v>38</x:v>
      </x:c>
      <x:c r="I24" s="7" t="s">
        <x:v>39</x:v>
      </x:c>
      <x:c r="K24" s="5">
        <x:v>65</x:v>
      </x:c>
    </x:row>
    <x:row r="25" ht="20" customHeight="1">
      <x:c r="B25" s="5">
        <x:v>12</x:v>
      </x:c>
      <x:c r="C25" s="5" t="s">
        <x:v>40</x:v>
      </x:c>
      <x:c r="E25" s="7" t="s">
        <x:v>35</x:v>
      </x:c>
      <x:c r="G25" s="5" t="s">
        <x:v>41</x:v>
      </x:c>
      <x:c r="I25" s="7" t="s">
        <x:v>39</x:v>
      </x:c>
      <x:c r="K25" s="5">
        <x:v>66</x:v>
      </x:c>
    </x:row>
    <x:row r="26" ht="20" customHeight="1">
      <x:c r="B26" s="5">
        <x:v>13</x:v>
      </x:c>
      <x:c r="C26" s="5" t="s">
        <x:v>42</x:v>
      </x:c>
      <x:c r="E26" s="7" t="s">
        <x:v>35</x:v>
      </x:c>
      <x:c r="G26" s="5" t="s">
        <x:v>43</x:v>
      </x:c>
      <x:c r="I26" s="7" t="s">
        <x:v>39</x:v>
      </x:c>
      <x:c r="K26" s="5">
        <x:v>67</x:v>
      </x:c>
    </x:row>
    <x:row r="27" ht="20" customHeight="1">
      <x:c r="B27" s="5">
        <x:v>14</x:v>
      </x:c>
      <x:c r="C27" s="5" t="s">
        <x:v>44</x:v>
      </x:c>
      <x:c r="E27" s="7" t="s">
        <x:v>25</x:v>
      </x:c>
    </x:row>
    <x:row r="28" ht="20" customHeight="1">
      <x:c r="B28" s="5">
        <x:v>15</x:v>
      </x:c>
      <x:c r="C28" s="5" t="s">
        <x:v>45</x:v>
      </x:c>
      <x:c r="E28" s="7" t="s">
        <x:v>35</x:v>
      </x:c>
    </x:row>
    <x:row r="29" ht="20" customHeight="1">
      <x:c r="B29" s="5">
        <x:v>16</x:v>
      </x:c>
      <x:c r="C29" s="5" t="s">
        <x:v>46</x:v>
      </x:c>
      <x:c r="E29" s="7" t="s">
        <x:v>35</x:v>
      </x:c>
    </x:row>
    <x:row r="30" ht="20" customHeight="1">
      <x:c r="B30" s="5">
        <x:v>17</x:v>
      </x:c>
      <x:c r="C30" s="5" t="s">
        <x:v>47</x:v>
      </x:c>
      <x:c r="E30" s="7" t="s">
        <x:v>25</x:v>
      </x:c>
    </x:row>
    <x:row r="31" ht="20" customHeight="1"/>
    <x:row r="32" ht="20" customHeight="1"/>
    <x:row r="33" ht="20" customHeight="1"/>
    <x:row r="34" ht="20" customHeight="1"/>
    <x:row r="35" ht="20" customHeight="1">
      <x:c r="B35" s="21" t="s">
        <x:v>48</x:v>
      </x:c>
      <x:c r="C35" s="20"/>
      <x:c r="D35" s="20"/>
      <x:c r="E35" s="20"/>
      <x:c r="F35" s="20"/>
      <x:c r="G35" s="21" t="s">
        <x:v>49</x:v>
      </x:c>
      <x:c r="H35" s="20"/>
      <x:c r="I35" s="20"/>
      <x:c r="J35" s="20"/>
      <x:c r="K35" s="20"/>
    </x:row>
    <x:row r="36" ht="20" customHeight="1">
      <x:c r="B36" s="5">
        <x:v>33</x:v>
      </x:c>
      <x:c r="C36" s="5" t="s">
        <x:v>50</x:v>
      </x:c>
      <x:c r="E36" s="5" t="s">
        <x:v>25</x:v>
      </x:c>
      <x:c r="G36" s="5" t="s">
        <x:v>51</x:v>
      </x:c>
      <x:c r="I36" s="7" t="s">
        <x:v>39</x:v>
      </x:c>
    </x:row>
    <x:row r="37" ht="20" customHeight="1">
      <x:c r="B37" s="5">
        <x:v>34</x:v>
      </x:c>
      <x:c r="C37" s="5" t="s">
        <x:v>52</x:v>
      </x:c>
      <x:c r="E37" s="5" t="s">
        <x:v>53</x:v>
      </x:c>
      <x:c r="G37" s="5" t="s">
        <x:v>54</x:v>
      </x:c>
      <x:c r="I37" s="6" t="n">
        <x:f>IFERROR(VLOOKUP($C$5,'Config Info'!$A:$T,17,FALSE),"")</x:f>
        <x:v>75</x:v>
      </x:c>
    </x:row>
    <x:row r="38" ht="20" customHeight="1">
      <x:c r="B38" s="5">
        <x:v>35</x:v>
      </x:c>
      <x:c r="C38" s="5" t="s">
        <x:v>55</x:v>
      </x:c>
      <x:c r="E38" s="5" t="s">
        <x:v>35</x:v>
      </x:c>
      <x:c r="G38" s="5" t="s">
        <x:v>56</x:v>
      </x:c>
      <x:c r="I38" s="6" t="str">
        <x:f>IFERROR(VLOOKUP($C$5,'Config Info'!$A:$T,18,FALSE),"")</x:f>
        <x:v>1750 RPM</x:v>
      </x:c>
    </x:row>
    <x:row r="39" ht="20" customHeight="1">
      <x:c r="B39" s="5">
        <x:v>36</x:v>
      </x:c>
      <x:c r="C39" s="5" t="s">
        <x:v>57</x:v>
      </x:c>
      <x:c r="E39" s="5" t="s">
        <x:v>58</x:v>
      </x:c>
      <x:c r="G39" s="5" t="s">
        <x:v>59</x:v>
      </x:c>
      <x:c r="I39" s="6" t="str">
        <x:f>IFERROR(VLOOKUP($C$5,'Config Info'!$A:$T,19,FALSE),"")</x:f>
        <x:v>460V</x:v>
      </x:c>
    </x:row>
    <x:row r="40" ht="20" customHeight="1">
      <x:c r="B40" s="5">
        <x:v>37</x:v>
      </x:c>
      <x:c r="C40" s="5" t="s">
        <x:v>60</x:v>
      </x:c>
      <x:c r="E40" s="5" t="s">
        <x:v>25</x:v>
      </x:c>
      <x:c r="G40" s="5" t="s">
        <x:v>61</x:v>
      </x:c>
      <x:c r="I40" s="7" t="s">
        <x:v>62</x:v>
      </x:c>
    </x:row>
    <x:row r="41" ht="20" customHeight="1">
      <x:c r="B41" s="5">
        <x:v>38</x:v>
      </x:c>
      <x:c r="C41" s="5" t="s">
        <x:v>63</x:v>
      </x:c>
      <x:c r="E41" s="5" t="s">
        <x:v>35</x:v>
      </x:c>
      <x:c r="G41" s="5" t="s">
        <x:v>64</x:v>
      </x:c>
      <x:c r="I41" s="7" t="s">
        <x:v>65</x:v>
      </x:c>
    </x:row>
    <x:row r="42" ht="20" customHeight="1">
      <x:c r="B42" s="5">
        <x:v>39</x:v>
      </x:c>
      <x:c r="C42" s="5" t="s">
        <x:v>66</x:v>
      </x:c>
      <x:c r="E42" s="5" t="s">
        <x:v>67</x:v>
      </x:c>
      <x:c r="G42" s="5" t="s">
        <x:v>68</x:v>
      </x:c>
      <x:c r="I42" s="7" t="s">
        <x:v>69</x:v>
      </x:c>
    </x:row>
    <x:row r="43" ht="20" customHeight="1">
      <x:c r="B43" s="5">
        <x:v>40</x:v>
      </x:c>
      <x:c r="C43" s="5" t="s">
        <x:v>70</x:v>
      </x:c>
      <x:c r="E43" s="5" t="s">
        <x:v>71</x:v>
      </x:c>
      <x:c r="G43" s="5" t="s">
        <x:v>72</x:v>
      </x:c>
      <x:c r="I43" s="7" t="s">
        <x:v>73</x:v>
      </x:c>
    </x:row>
    <x:row r="44" ht="20" customHeight="1">
      <x:c r="B44" s="5">
        <x:v>41</x:v>
      </x:c>
      <x:c r="C44" s="5" t="s">
        <x:v>74</x:v>
      </x:c>
      <x:c r="E44" s="5" t="s">
        <x:v>35</x:v>
      </x:c>
      <x:c r="G44" s="5" t="s">
        <x:v>75</x:v>
      </x:c>
      <x:c r="I44" s="7" t="s">
        <x:v>39</x:v>
      </x:c>
    </x:row>
    <x:row r="45" ht="20" customHeight="1">
      <x:c r="B45" s="5">
        <x:v>42</x:v>
      </x:c>
      <x:c r="C45" s="5" t="s">
        <x:v>76</x:v>
      </x:c>
      <x:c r="E45" s="5" t="s">
        <x:v>35</x:v>
      </x:c>
      <x:c r="G45" s="5" t="s">
        <x:v>77</x:v>
      </x:c>
      <x:c r="I45" s="7" t="s">
        <x:v>39</x:v>
      </x:c>
    </x:row>
    <x:row r="46" ht="20" customHeight="1">
      <x:c r="B46" s="5">
        <x:v>43</x:v>
      </x:c>
      <x:c r="C46" s="5" t="s">
        <x:v>78</x:v>
      </x:c>
      <x:c r="E46" s="5" t="s">
        <x:v>35</x:v>
      </x:c>
    </x:row>
    <x:row r="47" ht="20" customHeight="1"/>
    <x:row r="48" ht="20" customHeight="1">
      <x:c r="B48" s="47" t="str">
        <x:v>PX Pricing Summary</x:v>
      </x:c>
    </x:row>
    <x:row r="49" ht="20" customHeight="1"/>
    <x:row r="50" ht="20" customHeight="1">
      <x:c r="B50" s="66" t="str">
        <x:v>Base Price</x:v>
      </x:c>
      <x:c r="C50" s="51" t="n">
        <x:f>'PX Configurator'!B21</x:f>
        <x:v>365</x:v>
      </x:c>
    </x:row>
    <x:row r="51" ht="20" customHeight="1">
      <x:c r="B51" s="66" t="str">
        <x:v>Option Price</x:v>
      </x:c>
      <x:c r="C51" s="51" t="n">
        <x:f>'PX Configurator'!B22</x:f>
        <x:v>540</x:v>
      </x:c>
    </x:row>
    <x:row r="52" ht="20" customHeight="1">
      <x:c r="B52" s="66" t="str">
        <x:v>Unit List Price</x:v>
      </x:c>
      <x:c r="C52" s="51" t="n">
        <x:f>'PX Configurator'!B23</x:f>
        <x:v>905</x:v>
      </x:c>
    </x:row>
    <x:row r="53" ht="20" customHeight="1">
      <x:c r="B53" s="66" t="str">
        <x:v>Quantity</x:v>
      </x:c>
      <x:c r="C53" s="51" t="n">
        <x:f>'PX Configurator'!B16</x:f>
        <x:v>1</x:v>
      </x:c>
    </x:row>
    <x:row r="54" ht="20" customHeight="1">
      <x:c r="B54" s="66" t="str">
        <x:v>Discount Amount</x:v>
      </x:c>
      <x:c r="C54" s="51" t="n">
        <x:f>'PX Configurator'!B25</x:f>
        <x:v>45.25</x:v>
      </x:c>
    </x:row>
    <x:row r="55" ht="20" customHeight="1">
      <x:c r="B55" s="66" t="str">
        <x:v>Tax</x:v>
      </x:c>
      <x:c r="C55" s="51" t="n">
        <x:f>'PX Configurator'!B27</x:f>
        <x:v>60.182500000000005</x:v>
      </x:c>
    </x:row>
    <x:row r="56" ht="20" customHeight="1">
      <x:c r="B56" s="66" t="str">
        <x:v>Total Quote</x:v>
      </x:c>
      <x:c r="C56" s="51" t="n">
        <x:f>'PX Configurator'!B28</x:f>
        <x:v>919.9325</x:v>
      </x:c>
    </x:row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</x:sheetData>
  <x:mergeCells>
    <x:mergeCell ref="B2:J3"/>
    <x:mergeCell ref="B12:F12"/>
    <x:mergeCell ref="G35:K35"/>
    <x:mergeCell ref="G12:K12"/>
    <x:mergeCell ref="L2:O4"/>
    <x:mergeCell ref="B35:F35"/>
    <x:mergeCell ref="B48:E48"/>
  </x:mergeCells>
  <x:pageMargins left="0.7" right="0.7" top="0.75" bottom="0.75" header="0.3" footer="0.3"/>
  <x:legacyDrawing xmlns:r="http://schemas.openxmlformats.org/officeDocument/2006/relationships" r:id="R833793cb3f6b4af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4" max="4" width="24" customWidth="1"/>
    <x:col min="5" max="5" width="40" customWidth="1"/>
    <x:col min="6" max="11" width="24" customWidth="1"/>
  </x:cols>
  <x:sheetData>
    <x:row r="4" ht="21">
      <x:c r="D4" s="9" t="s">
        <x:v>79</x:v>
      </x:c>
    </x:row>
    <x:row r="5">
      <x:c r="D5" s="10" t="s">
        <x:v>20</x:v>
      </x:c>
      <x:c r="E5" s="10" t="s">
        <x:v>22</x:v>
      </x:c>
      <x:c r="F5" s="10" t="s">
        <x:v>80</x:v>
      </x:c>
      <x:c r="G5" s="10" t="s">
        <x:v>81</x:v>
      </x:c>
      <x:c r="H5" s="10" t="s">
        <x:v>82</x:v>
      </x:c>
      <x:c r="I5" s="10" t="s">
        <x:v>83</x:v>
      </x:c>
      <x:c r="J5" s="10" t="s">
        <x:v>84</x:v>
      </x:c>
      <x:c r="K5" s="10" t="s">
        <x:v>85</x:v>
      </x:c>
    </x:row>
    <x:row r="6">
      <x:c r="D6" s="11" t="s">
        <x:v>86</x:v>
      </x:c>
      <x:c r="E6" s="11" t="s">
        <x:v>87</x:v>
      </x:c>
      <x:c r="F6" s="11" t="s">
        <x:v>88</x:v>
      </x:c>
      <x:c r="G6" s="11" t="s">
        <x:v>89</x:v>
      </x:c>
      <x:c r="H6" s="11" t="s">
        <x:v>90</x:v>
      </x:c>
      <x:c r="I6" s="11" t="s">
        <x:v>39</x:v>
      </x:c>
      <x:c r="J6" s="11" t="s">
        <x:v>39</x:v>
      </x:c>
      <x:c r="K6" s="11" t="s">
        <x:v>39</x:v>
      </x:c>
    </x:row>
    <x:row r="7">
      <x:c r="D7" s="12" t="s">
        <x:v>86</x:v>
      </x:c>
      <x:c r="E7" s="12" t="s">
        <x:v>87</x:v>
      </x:c>
      <x:c r="F7" s="12" t="s">
        <x:v>88</x:v>
      </x:c>
      <x:c r="G7" s="12" t="s">
        <x:v>89</x:v>
      </x:c>
      <x:c r="H7" s="12" t="s">
        <x:v>91</x:v>
      </x:c>
      <x:c r="I7" s="12" t="s">
        <x:v>39</x:v>
      </x:c>
      <x:c r="J7" s="12" t="s">
        <x:v>39</x:v>
      </x:c>
      <x:c r="K7" s="12" t="s">
        <x:v>39</x:v>
      </x:c>
    </x:row>
    <x:row r="8">
      <x:c r="D8" s="11" t="s">
        <x:v>86</x:v>
      </x:c>
      <x:c r="E8" s="11" t="s">
        <x:v>87</x:v>
      </x:c>
      <x:c r="F8" s="11" t="s">
        <x:v>88</x:v>
      </x:c>
      <x:c r="G8" s="11" t="s">
        <x:v>89</x:v>
      </x:c>
      <x:c r="H8" s="11" t="s">
        <x:v>92</x:v>
      </x:c>
      <x:c r="I8" s="11" t="s">
        <x:v>39</x:v>
      </x:c>
      <x:c r="J8" s="11" t="s">
        <x:v>39</x:v>
      </x:c>
      <x:c r="K8" s="11" t="s">
        <x:v>39</x:v>
      </x:c>
    </x:row>
    <x:row r="9">
      <x:c r="D9" s="12" t="s">
        <x:v>86</x:v>
      </x:c>
      <x:c r="E9" s="12" t="s">
        <x:v>87</x:v>
      </x:c>
      <x:c r="F9" s="12" t="s">
        <x:v>88</x:v>
      </x:c>
      <x:c r="G9" s="12" t="s">
        <x:v>89</x:v>
      </x:c>
      <x:c r="H9" s="12" t="s">
        <x:v>93</x:v>
      </x:c>
      <x:c r="I9" s="12" t="s">
        <x:v>39</x:v>
      </x:c>
      <x:c r="J9" s="12" t="s">
        <x:v>39</x:v>
      </x:c>
      <x:c r="K9" s="12" t="s">
        <x:v>39</x:v>
      </x:c>
    </x:row>
    <x:row r="10">
      <x:c r="D10" s="11" t="s">
        <x:v>86</x:v>
      </x:c>
      <x:c r="E10" s="11" t="s">
        <x:v>87</x:v>
      </x:c>
      <x:c r="F10" s="11" t="s">
        <x:v>88</x:v>
      </x:c>
      <x:c r="G10" s="11" t="s">
        <x:v>89</x:v>
      </x:c>
      <x:c r="H10" s="11" t="s">
        <x:v>94</x:v>
      </x:c>
      <x:c r="I10" s="11" t="s">
        <x:v>39</x:v>
      </x:c>
      <x:c r="J10" s="11" t="s">
        <x:v>39</x:v>
      </x:c>
      <x:c r="K10" s="11" t="s">
        <x:v>39</x:v>
      </x:c>
    </x:row>
    <x:row r="11">
      <x:c r="D11" s="12" t="s">
        <x:v>86</x:v>
      </x:c>
      <x:c r="E11" s="12" t="s">
        <x:v>87</x:v>
      </x:c>
      <x:c r="F11" s="12" t="s">
        <x:v>88</x:v>
      </x:c>
      <x:c r="G11" s="12" t="s">
        <x:v>95</x:v>
      </x:c>
      <x:c r="H11" s="12" t="s">
        <x:v>92</x:v>
      </x:c>
      <x:c r="I11" s="12" t="s">
        <x:v>39</x:v>
      </x:c>
      <x:c r="J11" s="12" t="s">
        <x:v>39</x:v>
      </x:c>
      <x:c r="K11" s="12" t="s">
        <x:v>39</x:v>
      </x:c>
    </x:row>
    <x:row r="12">
      <x:c r="D12" s="11" t="s">
        <x:v>86</x:v>
      </x:c>
      <x:c r="E12" s="11" t="s">
        <x:v>87</x:v>
      </x:c>
      <x:c r="F12" s="11" t="s">
        <x:v>88</x:v>
      </x:c>
      <x:c r="G12" s="11" t="s">
        <x:v>95</x:v>
      </x:c>
      <x:c r="H12" s="11" t="s">
        <x:v>96</x:v>
      </x:c>
      <x:c r="I12" s="11" t="s">
        <x:v>39</x:v>
      </x:c>
      <x:c r="J12" s="11" t="s">
        <x:v>39</x:v>
      </x:c>
      <x:c r="K12" s="11" t="s">
        <x:v>39</x:v>
      </x:c>
    </x:row>
    <x:row r="13">
      <x:c r="D13" s="12" t="s">
        <x:v>86</x:v>
      </x:c>
      <x:c r="E13" s="12" t="s">
        <x:v>87</x:v>
      </x:c>
      <x:c r="F13" s="12" t="s">
        <x:v>88</x:v>
      </x:c>
      <x:c r="G13" s="12" t="s">
        <x:v>97</x:v>
      </x:c>
      <x:c r="H13" s="12" t="s">
        <x:v>92</x:v>
      </x:c>
      <x:c r="I13" s="12" t="s">
        <x:v>39</x:v>
      </x:c>
      <x:c r="J13" s="12" t="s">
        <x:v>39</x:v>
      </x:c>
      <x:c r="K13" s="12" t="s">
        <x:v>39</x:v>
      </x:c>
    </x:row>
    <x:row r="14">
      <x:c r="D14" s="11" t="s">
        <x:v>86</x:v>
      </x:c>
      <x:c r="E14" s="11" t="s">
        <x:v>87</x:v>
      </x:c>
      <x:c r="F14" s="11" t="s">
        <x:v>88</x:v>
      </x:c>
      <x:c r="G14" s="11" t="s">
        <x:v>98</x:v>
      </x:c>
      <x:c r="H14" s="11" t="s">
        <x:v>92</x:v>
      </x:c>
      <x:c r="I14" s="11" t="s">
        <x:v>39</x:v>
      </x:c>
      <x:c r="J14" s="11" t="s">
        <x:v>39</x:v>
      </x:c>
      <x:c r="K14" s="11" t="s">
        <x:v>39</x:v>
      </x:c>
    </x:row>
    <x:row r="15">
      <x:c r="D15" s="12" t="s">
        <x:v>86</x:v>
      </x:c>
      <x:c r="E15" s="12" t="s">
        <x:v>87</x:v>
      </x:c>
      <x:c r="F15" s="12" t="s">
        <x:v>89</x:v>
      </x:c>
      <x:c r="G15" s="12" t="s">
        <x:v>89</x:v>
      </x:c>
      <x:c r="H15" s="12" t="s">
        <x:v>92</x:v>
      </x:c>
      <x:c r="I15" s="12" t="s">
        <x:v>39</x:v>
      </x:c>
      <x:c r="J15" s="12" t="s">
        <x:v>39</x:v>
      </x:c>
      <x:c r="K15" s="12" t="s">
        <x:v>39</x:v>
      </x:c>
    </x:row>
    <x:row r="16">
      <x:c r="D16" s="11" t="s">
        <x:v>86</x:v>
      </x:c>
      <x:c r="E16" s="11" t="s">
        <x:v>99</x:v>
      </x:c>
      <x:c r="F16" s="11" t="s">
        <x:v>88</x:v>
      </x:c>
      <x:c r="G16" s="11" t="s">
        <x:v>95</x:v>
      </x:c>
      <x:c r="H16" s="11" t="s">
        <x:v>92</x:v>
      </x:c>
      <x:c r="I16" s="11" t="s">
        <x:v>39</x:v>
      </x:c>
      <x:c r="J16" s="11" t="s">
        <x:v>39</x:v>
      </x:c>
      <x:c r="K16" s="11" t="s">
        <x:v>39</x:v>
      </x:c>
    </x:row>
    <x:row r="17">
      <x:c r="D17" s="12" t="s">
        <x:v>86</x:v>
      </x:c>
      <x:c r="E17" s="12" t="s">
        <x:v>99</x:v>
      </x:c>
      <x:c r="F17" s="12" t="s">
        <x:v>89</x:v>
      </x:c>
      <x:c r="G17" s="12" t="s">
        <x:v>95</x:v>
      </x:c>
      <x:c r="H17" s="12" t="s">
        <x:v>91</x:v>
      </x:c>
      <x:c r="I17" s="12" t="s">
        <x:v>39</x:v>
      </x:c>
      <x:c r="J17" s="12" t="s">
        <x:v>39</x:v>
      </x:c>
      <x:c r="K17" s="12" t="s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0" max="27" width="12" customWidth="1"/>
  </x:cols>
  <x:sheetData>
    <x:row r="4" ht="21">
      <x:c r="K4" s="9" t="s">
        <x:v>100</x:v>
      </x:c>
    </x:row>
    <x:row r="5">
      <x:c r="J5" s="10" t="s">
        <x:v>101</x:v>
      </x:c>
      <x:c r="K5" s="10" t="s">
        <x:v>102</x:v>
      </x:c>
      <x:c r="L5" s="10" t="s">
        <x:v>103</x:v>
      </x:c>
      <x:c r="M5" s="10" t="s">
        <x:v>104</x:v>
      </x:c>
      <x:c r="N5" s="10" t="s">
        <x:v>105</x:v>
      </x:c>
      <x:c r="O5" s="10" t="s">
        <x:v>106</x:v>
      </x:c>
      <x:c r="P5" s="10" t="s">
        <x:v>107</x:v>
      </x:c>
      <x:c r="Q5" s="10" t="s">
        <x:v>108</x:v>
      </x:c>
      <x:c r="R5" s="10" t="s">
        <x:v>109</x:v>
      </x:c>
      <x:c r="S5" s="10" t="s">
        <x:v>110</x:v>
      </x:c>
      <x:c r="T5" s="10" t="s">
        <x:v>111</x:v>
      </x:c>
      <x:c r="U5" s="10" t="s">
        <x:v>112</x:v>
      </x:c>
      <x:c r="V5" s="10" t="s">
        <x:v>113</x:v>
      </x:c>
      <x:c r="W5" s="10" t="s">
        <x:v>114</x:v>
      </x:c>
      <x:c r="X5" s="10" t="s">
        <x:v>115</x:v>
      </x:c>
      <x:c r="Y5" s="10" t="s">
        <x:v>116</x:v>
      </x:c>
      <x:c r="Z5" s="10" t="s">
        <x:v>117</x:v>
      </x:c>
      <x:c r="AA5" s="10" t="s">
        <x:v>118</x:v>
      </x:c>
    </x:row>
    <x:row r="6">
      <x:c r="J6" s="13">
        <x:v>1</x:v>
      </x:c>
      <x:c r="K6" s="13">
        <x:v>2</x:v>
      </x:c>
      <x:c r="L6" s="13">
        <x:v>3</x:v>
      </x:c>
      <x:c r="M6" s="13">
        <x:v>4</x:v>
      </x:c>
      <x:c r="N6" s="13">
        <x:v>5</x:v>
      </x:c>
      <x:c r="O6" s="13">
        <x:v>6</x:v>
      </x:c>
      <x:c r="P6" s="13">
        <x:v>7</x:v>
      </x:c>
      <x:c r="Q6" s="13">
        <x:v>8</x:v>
      </x:c>
      <x:c r="R6" s="13">
        <x:v>9</x:v>
      </x:c>
      <x:c r="S6" s="13">
        <x:v>10</x:v>
      </x:c>
      <x:c r="T6" s="13">
        <x:v>11</x:v>
      </x:c>
      <x:c r="U6" s="13">
        <x:v>12</x:v>
      </x:c>
      <x:c r="V6" s="13">
        <x:v>13</x:v>
      </x:c>
      <x:c r="W6" s="13">
        <x:v>14</x:v>
      </x:c>
      <x:c r="X6" s="13">
        <x:v>15</x:v>
      </x:c>
      <x:c r="Y6" s="13">
        <x:v>16</x:v>
      </x:c>
      <x:c r="Z6" s="13">
        <x:v>17</x:v>
      </x:c>
      <x:c r="AA6" s="13">
        <x:v>18</x:v>
      </x:c>
    </x:row>
    <x:row r="7">
      <x:c r="J7" s="13">
        <x:v>37</x:v>
      </x:c>
      <x:c r="K7" s="13">
        <x:v>38</x:v>
      </x:c>
      <x:c r="L7" s="13">
        <x:v>39</x:v>
      </x:c>
      <x:c r="M7" s="13">
        <x:v>40</x:v>
      </x:c>
      <x:c r="N7" s="13">
        <x:v>41</x:v>
      </x:c>
      <x:c r="O7" s="13">
        <x:v>42</x:v>
      </x:c>
      <x:c r="P7" s="13">
        <x:v>43</x:v>
      </x:c>
      <x:c r="Q7" s="13">
        <x:v>44</x:v>
      </x:c>
      <x:c r="R7" s="13">
        <x:v>45</x:v>
      </x:c>
      <x:c r="S7" s="13">
        <x:v>46</x:v>
      </x:c>
      <x:c r="T7" s="13">
        <x:v>47</x:v>
      </x:c>
      <x:c r="U7" s="13">
        <x:v>48</x:v>
      </x:c>
      <x:c r="V7" s="13">
        <x:v>49</x:v>
      </x:c>
      <x:c r="W7" s="13">
        <x:v>50</x:v>
      </x:c>
      <x:c r="X7" s="13">
        <x:v>51</x:v>
      </x:c>
      <x:c r="Y7" s="13">
        <x:v>52</x:v>
      </x:c>
      <x:c r="Z7" s="13">
        <x:v>53</x:v>
      </x:c>
      <x:c r="AA7" s="13">
        <x:v>54</x:v>
      </x:c>
    </x:row>
    <x:row r="8">
      <x:c r="J8" s="13">
        <x:v>73</x:v>
      </x:c>
      <x:c r="K8" s="13">
        <x:v>74</x:v>
      </x:c>
      <x:c r="L8" s="13">
        <x:v>75</x:v>
      </x:c>
      <x:c r="M8" s="13">
        <x:v>76</x:v>
      </x:c>
      <x:c r="N8" s="13">
        <x:v>77</x:v>
      </x:c>
      <x:c r="O8" s="13">
        <x:v>78</x:v>
      </x:c>
      <x:c r="P8" s="13">
        <x:v>79</x:v>
      </x:c>
      <x:c r="Q8" s="13">
        <x:v>80</x:v>
      </x:c>
      <x:c r="R8" s="13">
        <x:v>81</x:v>
      </x:c>
      <x:c r="S8" s="13">
        <x:v>82</x:v>
      </x:c>
      <x:c r="T8" s="13">
        <x:v>83</x:v>
      </x:c>
      <x:c r="U8" s="13">
        <x:v>84</x:v>
      </x:c>
      <x:c r="V8" s="13">
        <x:v>85</x:v>
      </x:c>
      <x:c r="W8" s="13">
        <x:v>86</x:v>
      </x:c>
      <x:c r="X8" s="13">
        <x:v>87</x:v>
      </x:c>
      <x:c r="Y8" s="13">
        <x:v>88</x:v>
      </x:c>
      <x:c r="Z8" s="13">
        <x:v>89</x:v>
      </x:c>
      <x:c r="AA8" s="13">
        <x:v>90</x:v>
      </x:c>
    </x:row>
    <x:row r="9">
      <x:c r="J9" s="13">
        <x:v>109</x:v>
      </x:c>
      <x:c r="K9" s="13">
        <x:v>110</x:v>
      </x:c>
      <x:c r="L9" s="13">
        <x:v>111</x:v>
      </x:c>
      <x:c r="M9" s="13">
        <x:v>112</x:v>
      </x:c>
      <x:c r="N9" s="13">
        <x:v>113</x:v>
      </x:c>
      <x:c r="O9" s="13">
        <x:v>114</x:v>
      </x:c>
      <x:c r="P9" s="13">
        <x:v>115</x:v>
      </x:c>
      <x:c r="Q9" s="13">
        <x:v>116</x:v>
      </x:c>
      <x:c r="R9" s="13">
        <x:v>117</x:v>
      </x:c>
      <x:c r="S9" s="13">
        <x:v>118</x:v>
      </x:c>
      <x:c r="T9" s="13">
        <x:v>119</x:v>
      </x:c>
      <x:c r="U9" s="13">
        <x:v>120</x:v>
      </x:c>
      <x:c r="V9" s="13">
        <x:v>121</x:v>
      </x:c>
      <x:c r="W9" s="13">
        <x:v>122</x:v>
      </x:c>
      <x:c r="X9" s="13">
        <x:v>123</x:v>
      </x:c>
      <x:c r="Y9" s="13">
        <x:v>124</x:v>
      </x:c>
      <x:c r="Z9" s="13">
        <x:v>125</x:v>
      </x:c>
      <x:c r="AA9" s="13">
        <x:v>126</x:v>
      </x:c>
    </x:row>
    <x:row r="10">
      <x:c r="J10" s="13">
        <x:v>145</x:v>
      </x:c>
      <x:c r="K10" s="13">
        <x:v>146</x:v>
      </x:c>
      <x:c r="L10" s="13">
        <x:v>147</x:v>
      </x:c>
      <x:c r="M10" s="13">
        <x:v>148</x:v>
      </x:c>
      <x:c r="N10" s="13">
        <x:v>149</x:v>
      </x:c>
      <x:c r="O10" s="13">
        <x:v>150</x:v>
      </x:c>
      <x:c r="P10" s="13">
        <x:v>151</x:v>
      </x:c>
      <x:c r="Q10" s="13">
        <x:v>152</x:v>
      </x:c>
      <x:c r="R10" s="13">
        <x:v>153</x:v>
      </x:c>
      <x:c r="S10" s="13">
        <x:v>154</x:v>
      </x:c>
      <x:c r="T10" s="13">
        <x:v>155</x:v>
      </x:c>
      <x:c r="U10" s="13">
        <x:v>156</x:v>
      </x:c>
      <x:c r="V10" s="13">
        <x:v>157</x:v>
      </x:c>
      <x:c r="W10" s="13">
        <x:v>158</x:v>
      </x:c>
      <x:c r="X10" s="13">
        <x:v>159</x:v>
      </x:c>
      <x:c r="Y10" s="13">
        <x:v>160</x:v>
      </x:c>
      <x:c r="Z10" s="13">
        <x:v>161</x:v>
      </x:c>
      <x:c r="AA10" s="13">
        <x:v>162</x:v>
      </x:c>
    </x:row>
    <x:row r="11">
      <x:c r="J11" s="13">
        <x:v>181</x:v>
      </x:c>
      <x:c r="K11" s="13">
        <x:v>182</x:v>
      </x:c>
      <x:c r="L11" s="13">
        <x:v>183</x:v>
      </x:c>
      <x:c r="M11" s="13">
        <x:v>184</x:v>
      </x:c>
      <x:c r="N11" s="13">
        <x:v>185</x:v>
      </x:c>
      <x:c r="O11" s="13">
        <x:v>186</x:v>
      </x:c>
      <x:c r="P11" s="13">
        <x:v>187</x:v>
      </x:c>
      <x:c r="Q11" s="13">
        <x:v>188</x:v>
      </x:c>
      <x:c r="R11" s="13">
        <x:v>189</x:v>
      </x:c>
      <x:c r="S11" s="13">
        <x:v>190</x:v>
      </x:c>
      <x:c r="T11" s="13">
        <x:v>191</x:v>
      </x:c>
      <x:c r="U11" s="13">
        <x:v>192</x:v>
      </x:c>
      <x:c r="V11" s="13">
        <x:v>193</x:v>
      </x:c>
      <x:c r="W11" s="13">
        <x:v>194</x:v>
      </x:c>
      <x:c r="X11" s="13">
        <x:v>195</x:v>
      </x:c>
      <x:c r="Y11" s="13">
        <x:v>196</x:v>
      </x:c>
      <x:c r="Z11" s="13">
        <x:v>197</x:v>
      </x:c>
      <x:c r="AA11" s="13">
        <x:v>198</x:v>
      </x:c>
    </x:row>
    <x:row r="12">
      <x:c r="J12" s="13">
        <x:v>217</x:v>
      </x:c>
      <x:c r="K12" s="13">
        <x:v>218</x:v>
      </x:c>
      <x:c r="L12" s="13">
        <x:v>219</x:v>
      </x:c>
      <x:c r="M12" s="13">
        <x:v>220</x:v>
      </x:c>
      <x:c r="N12" s="13">
        <x:v>221</x:v>
      </x:c>
      <x:c r="O12" s="13">
        <x:v>222</x:v>
      </x:c>
      <x:c r="P12" s="13">
        <x:v>223</x:v>
      </x:c>
      <x:c r="Q12" s="13">
        <x:v>224</x:v>
      </x:c>
      <x:c r="R12" s="13">
        <x:v>225</x:v>
      </x:c>
      <x:c r="S12" s="13">
        <x:v>226</x:v>
      </x:c>
      <x:c r="T12" s="13">
        <x:v>227</x:v>
      </x:c>
      <x:c r="U12" s="13">
        <x:v>228</x:v>
      </x:c>
      <x:c r="V12" s="13">
        <x:v>229</x:v>
      </x:c>
      <x:c r="W12" s="13">
        <x:v>230</x:v>
      </x:c>
      <x:c r="X12" s="13">
        <x:v>231</x:v>
      </x:c>
      <x:c r="Y12" s="13">
        <x:v>232</x:v>
      </x:c>
      <x:c r="Z12" s="13">
        <x:v>233</x:v>
      </x:c>
      <x:c r="AA12" s="13">
        <x:v>234</x:v>
      </x:c>
    </x:row>
    <x:row r="13">
      <x:c r="J13" s="13">
        <x:v>253</x:v>
      </x:c>
      <x:c r="K13" s="13">
        <x:v>254</x:v>
      </x:c>
      <x:c r="L13" s="13">
        <x:v>255</x:v>
      </x:c>
      <x:c r="M13" s="13">
        <x:v>256</x:v>
      </x:c>
      <x:c r="N13" s="13">
        <x:v>257</x:v>
      </x:c>
      <x:c r="O13" s="13">
        <x:v>258</x:v>
      </x:c>
      <x:c r="P13" s="13">
        <x:v>259</x:v>
      </x:c>
      <x:c r="Q13" s="13">
        <x:v>260</x:v>
      </x:c>
      <x:c r="R13" s="13">
        <x:v>261</x:v>
      </x:c>
      <x:c r="S13" s="13">
        <x:v>262</x:v>
      </x:c>
      <x:c r="T13" s="13">
        <x:v>263</x:v>
      </x:c>
      <x:c r="U13" s="13">
        <x:v>264</x:v>
      </x:c>
      <x:c r="V13" s="13">
        <x:v>265</x:v>
      </x:c>
      <x:c r="W13" s="13">
        <x:v>266</x:v>
      </x:c>
      <x:c r="X13" s="13">
        <x:v>267</x:v>
      </x:c>
      <x:c r="Y13" s="13">
        <x:v>268</x:v>
      </x:c>
      <x:c r="Z13" s="13">
        <x:v>269</x:v>
      </x:c>
      <x:c r="AA13" s="13">
        <x:v>270</x:v>
      </x:c>
    </x:row>
    <x:row r="14">
      <x:c r="J14" s="13">
        <x:v>289</x:v>
      </x:c>
      <x:c r="K14" s="13">
        <x:v>290</x:v>
      </x:c>
      <x:c r="L14" s="13">
        <x:v>291</x:v>
      </x:c>
      <x:c r="M14" s="13">
        <x:v>292</x:v>
      </x:c>
      <x:c r="N14" s="13">
        <x:v>293</x:v>
      </x:c>
      <x:c r="O14" s="13">
        <x:v>294</x:v>
      </x:c>
      <x:c r="P14" s="13">
        <x:v>295</x:v>
      </x:c>
      <x:c r="Q14" s="13">
        <x:v>296</x:v>
      </x:c>
      <x:c r="R14" s="13">
        <x:v>297</x:v>
      </x:c>
      <x:c r="S14" s="13">
        <x:v>298</x:v>
      </x:c>
      <x:c r="T14" s="13">
        <x:v>299</x:v>
      </x:c>
      <x:c r="U14" s="13">
        <x:v>300</x:v>
      </x:c>
      <x:c r="V14" s="13">
        <x:v>301</x:v>
      </x:c>
      <x:c r="W14" s="13">
        <x:v>302</x:v>
      </x:c>
      <x:c r="X14" s="13">
        <x:v>303</x:v>
      </x:c>
      <x:c r="Y14" s="13">
        <x:v>304</x:v>
      </x:c>
      <x:c r="Z14" s="13">
        <x:v>305</x:v>
      </x:c>
      <x:c r="AA14" s="13">
        <x:v>306</x:v>
      </x:c>
    </x:row>
    <x:row r="15">
      <x:c r="J15" s="13">
        <x:v>325</x:v>
      </x:c>
      <x:c r="K15" s="13">
        <x:v>326</x:v>
      </x:c>
      <x:c r="L15" s="13">
        <x:v>327</x:v>
      </x:c>
      <x:c r="M15" s="13">
        <x:v>328</x:v>
      </x:c>
      <x:c r="N15" s="13">
        <x:v>329</x:v>
      </x:c>
      <x:c r="O15" s="13">
        <x:v>330</x:v>
      </x:c>
      <x:c r="P15" s="13">
        <x:v>331</x:v>
      </x:c>
      <x:c r="Q15" s="13">
        <x:v>332</x:v>
      </x:c>
      <x:c r="R15" s="13">
        <x:v>333</x:v>
      </x:c>
      <x:c r="S15" s="13">
        <x:v>334</x:v>
      </x:c>
      <x:c r="T15" s="13">
        <x:v>335</x:v>
      </x:c>
      <x:c r="U15" s="13">
        <x:v>336</x:v>
      </x:c>
      <x:c r="V15" s="13">
        <x:v>337</x:v>
      </x:c>
      <x:c r="W15" s="13">
        <x:v>338</x:v>
      </x:c>
      <x:c r="X15" s="13">
        <x:v>339</x:v>
      </x:c>
      <x:c r="Y15" s="13">
        <x:v>340</x:v>
      </x:c>
      <x:c r="Z15" s="13">
        <x:v>341</x:v>
      </x:c>
      <x:c r="AA15" s="13">
        <x:v>342</x:v>
      </x:c>
    </x:row>
    <x:row r="16">
      <x:c r="J16" s="13">
        <x:v>361</x:v>
      </x:c>
      <x:c r="K16" s="13">
        <x:v>362</x:v>
      </x:c>
      <x:c r="L16" s="13">
        <x:v>363</x:v>
      </x:c>
      <x:c r="M16" s="13">
        <x:v>364</x:v>
      </x:c>
      <x:c r="N16" s="13">
        <x:v>365</x:v>
      </x:c>
      <x:c r="O16" s="13">
        <x:v>366</x:v>
      </x:c>
      <x:c r="P16" s="13">
        <x:v>367</x:v>
      </x:c>
      <x:c r="Q16" s="13">
        <x:v>368</x:v>
      </x:c>
      <x:c r="R16" s="13">
        <x:v>369</x:v>
      </x:c>
      <x:c r="S16" s="13">
        <x:v>370</x:v>
      </x:c>
      <x:c r="T16" s="13">
        <x:v>371</x:v>
      </x:c>
      <x:c r="U16" s="13">
        <x:v>372</x:v>
      </x:c>
      <x:c r="V16" s="13">
        <x:v>373</x:v>
      </x:c>
      <x:c r="W16" s="13">
        <x:v>374</x:v>
      </x:c>
      <x:c r="X16" s="13">
        <x:v>375</x:v>
      </x:c>
      <x:c r="Y16" s="13">
        <x:v>376</x:v>
      </x:c>
      <x:c r="Z16" s="13">
        <x:v>377</x:v>
      </x:c>
      <x:c r="AA16" s="13">
        <x:v>378</x:v>
      </x:c>
    </x:row>
    <x:row r="17">
      <x:c r="J17" s="13">
        <x:v>397</x:v>
      </x:c>
      <x:c r="K17" s="13">
        <x:v>398</x:v>
      </x:c>
      <x:c r="L17" s="13">
        <x:v>399</x:v>
      </x:c>
      <x:c r="M17" s="13">
        <x:v>400</x:v>
      </x:c>
      <x:c r="N17" s="13">
        <x:v>401</x:v>
      </x:c>
      <x:c r="O17" s="13">
        <x:v>402</x:v>
      </x:c>
      <x:c r="P17" s="13">
        <x:v>403</x:v>
      </x:c>
      <x:c r="Q17" s="13">
        <x:v>404</x:v>
      </x:c>
      <x:c r="R17" s="13">
        <x:v>405</x:v>
      </x:c>
      <x:c r="S17" s="13">
        <x:v>406</x:v>
      </x:c>
      <x:c r="T17" s="13">
        <x:v>407</x:v>
      </x:c>
      <x:c r="U17" s="13">
        <x:v>408</x:v>
      </x:c>
      <x:c r="V17" s="13">
        <x:v>409</x:v>
      </x:c>
      <x:c r="W17" s="13">
        <x:v>410</x:v>
      </x:c>
      <x:c r="X17" s="13">
        <x:v>411</x:v>
      </x:c>
      <x:c r="Y17" s="13">
        <x:v>412</x:v>
      </x:c>
      <x:c r="Z17" s="13">
        <x:v>413</x:v>
      </x:c>
      <x:c r="AA17" s="13">
        <x:v>414</x:v>
      </x:c>
    </x:row>
    <x:row r="18">
      <x:c r="J18" s="13">
        <x:v>433</x:v>
      </x:c>
      <x:c r="K18" s="13">
        <x:v>434</x:v>
      </x:c>
      <x:c r="L18" s="13">
        <x:v>435</x:v>
      </x:c>
      <x:c r="M18" s="13">
        <x:v>436</x:v>
      </x:c>
      <x:c r="N18" s="13">
        <x:v>437</x:v>
      </x:c>
      <x:c r="O18" s="13">
        <x:v>438</x:v>
      </x:c>
      <x:c r="P18" s="13">
        <x:v>439</x:v>
      </x:c>
      <x:c r="Q18" s="13">
        <x:v>440</x:v>
      </x:c>
      <x:c r="R18" s="13">
        <x:v>441</x:v>
      </x:c>
      <x:c r="S18" s="13">
        <x:v>442</x:v>
      </x:c>
      <x:c r="T18" s="13">
        <x:v>443</x:v>
      </x:c>
      <x:c r="U18" s="13">
        <x:v>444</x:v>
      </x:c>
      <x:c r="V18" s="13">
        <x:v>445</x:v>
      </x:c>
      <x:c r="W18" s="13">
        <x:v>446</x:v>
      </x:c>
      <x:c r="X18" s="13">
        <x:v>447</x:v>
      </x:c>
      <x:c r="Y18" s="13">
        <x:v>448</x:v>
      </x:c>
      <x:c r="Z18" s="13">
        <x:v>449</x:v>
      </x:c>
      <x:c r="AA18" s="13">
        <x:v>450</x:v>
      </x:c>
    </x:row>
    <x:row r="19">
      <x:c r="J19" s="13">
        <x:v>469</x:v>
      </x:c>
      <x:c r="K19" s="13">
        <x:v>470</x:v>
      </x:c>
      <x:c r="L19" s="13">
        <x:v>471</x:v>
      </x:c>
      <x:c r="M19" s="13">
        <x:v>472</x:v>
      </x:c>
      <x:c r="N19" s="13">
        <x:v>473</x:v>
      </x:c>
      <x:c r="O19" s="13">
        <x:v>474</x:v>
      </x:c>
      <x:c r="P19" s="13">
        <x:v>475</x:v>
      </x:c>
      <x:c r="Q19" s="13">
        <x:v>476</x:v>
      </x:c>
      <x:c r="R19" s="13">
        <x:v>477</x:v>
      </x:c>
      <x:c r="S19" s="13">
        <x:v>478</x:v>
      </x:c>
      <x:c r="T19" s="13">
        <x:v>479</x:v>
      </x:c>
      <x:c r="U19" s="13">
        <x:v>480</x:v>
      </x:c>
      <x:c r="V19" s="13">
        <x:v>481</x:v>
      </x:c>
      <x:c r="W19" s="13">
        <x:v>482</x:v>
      </x:c>
      <x:c r="X19" s="13">
        <x:v>483</x:v>
      </x:c>
      <x:c r="Y19" s="13">
        <x:v>484</x:v>
      </x:c>
      <x:c r="Z19" s="13">
        <x:v>485</x:v>
      </x:c>
      <x:c r="AA19" s="13">
        <x:v>486</x:v>
      </x:c>
    </x:row>
    <x:row r="20">
      <x:c r="J20" s="13">
        <x:v>505</x:v>
      </x:c>
      <x:c r="K20" s="13">
        <x:v>506</x:v>
      </x:c>
      <x:c r="L20" s="13">
        <x:v>507</x:v>
      </x:c>
      <x:c r="M20" s="13">
        <x:v>508</x:v>
      </x:c>
      <x:c r="N20" s="13">
        <x:v>509</x:v>
      </x:c>
      <x:c r="O20" s="13">
        <x:v>510</x:v>
      </x:c>
      <x:c r="P20" s="13">
        <x:v>511</x:v>
      </x:c>
      <x:c r="Q20" s="13">
        <x:v>512</x:v>
      </x:c>
      <x:c r="R20" s="13">
        <x:v>513</x:v>
      </x:c>
      <x:c r="S20" s="13">
        <x:v>514</x:v>
      </x:c>
      <x:c r="T20" s="13">
        <x:v>515</x:v>
      </x:c>
      <x:c r="U20" s="13">
        <x:v>516</x:v>
      </x:c>
      <x:c r="V20" s="13">
        <x:v>517</x:v>
      </x:c>
      <x:c r="W20" s="13">
        <x:v>518</x:v>
      </x:c>
      <x:c r="X20" s="13">
        <x:v>519</x:v>
      </x:c>
      <x:c r="Y20" s="13">
        <x:v>520</x:v>
      </x:c>
      <x:c r="Z20" s="13">
        <x:v>521</x:v>
      </x:c>
      <x:c r="AA20" s="13">
        <x:v>522</x:v>
      </x:c>
    </x:row>
    <x:row r="21">
      <x:c r="J21" s="13">
        <x:v>541</x:v>
      </x:c>
      <x:c r="K21" s="13">
        <x:v>542</x:v>
      </x:c>
      <x:c r="L21" s="13">
        <x:v>543</x:v>
      </x:c>
      <x:c r="M21" s="13">
        <x:v>544</x:v>
      </x:c>
      <x:c r="N21" s="13">
        <x:v>545</x:v>
      </x:c>
      <x:c r="O21" s="13">
        <x:v>546</x:v>
      </x:c>
      <x:c r="P21" s="13">
        <x:v>547</x:v>
      </x:c>
      <x:c r="Q21" s="13">
        <x:v>548</x:v>
      </x:c>
      <x:c r="R21" s="13">
        <x:v>549</x:v>
      </x:c>
      <x:c r="S21" s="13">
        <x:v>550</x:v>
      </x:c>
      <x:c r="T21" s="13">
        <x:v>551</x:v>
      </x:c>
      <x:c r="U21" s="13">
        <x:v>552</x:v>
      </x:c>
      <x:c r="V21" s="13">
        <x:v>553</x:v>
      </x:c>
      <x:c r="W21" s="13">
        <x:v>554</x:v>
      </x:c>
      <x:c r="X21" s="13">
        <x:v>555</x:v>
      </x:c>
      <x:c r="Y21" s="13">
        <x:v>556</x:v>
      </x:c>
      <x:c r="Z21" s="13">
        <x:v>557</x:v>
      </x:c>
      <x:c r="AA21" s="13">
        <x:v>558</x:v>
      </x:c>
    </x:row>
    <x:row r="22">
      <x:c r="J22" s="13">
        <x:v>577</x:v>
      </x:c>
      <x:c r="K22" s="13">
        <x:v>578</x:v>
      </x:c>
      <x:c r="L22" s="13">
        <x:v>579</x:v>
      </x:c>
      <x:c r="M22" s="13">
        <x:v>580</x:v>
      </x:c>
      <x:c r="N22" s="13">
        <x:v>581</x:v>
      </x:c>
      <x:c r="O22" s="13">
        <x:v>582</x:v>
      </x:c>
      <x:c r="P22" s="13">
        <x:v>583</x:v>
      </x:c>
      <x:c r="Q22" s="13">
        <x:v>584</x:v>
      </x:c>
      <x:c r="R22" s="13">
        <x:v>585</x:v>
      </x:c>
      <x:c r="S22" s="13">
        <x:v>586</x:v>
      </x:c>
      <x:c r="T22" s="13">
        <x:v>587</x:v>
      </x:c>
      <x:c r="U22" s="13">
        <x:v>588</x:v>
      </x:c>
      <x:c r="V22" s="13">
        <x:v>589</x:v>
      </x:c>
      <x:c r="W22" s="13">
        <x:v>590</x:v>
      </x:c>
      <x:c r="X22" s="13">
        <x:v>591</x:v>
      </x:c>
      <x:c r="Y22" s="13">
        <x:v>592</x:v>
      </x:c>
      <x:c r="Z22" s="13">
        <x:v>593</x:v>
      </x:c>
      <x:c r="AA22" s="13">
        <x:v>594</x:v>
      </x:c>
    </x:row>
    <x:row r="23">
      <x:c r="J23" s="13">
        <x:v>613</x:v>
      </x:c>
      <x:c r="K23" s="13">
        <x:v>614</x:v>
      </x:c>
      <x:c r="L23" s="13">
        <x:v>615</x:v>
      </x:c>
      <x:c r="M23" s="13">
        <x:v>616</x:v>
      </x:c>
      <x:c r="N23" s="13">
        <x:v>617</x:v>
      </x:c>
      <x:c r="O23" s="13">
        <x:v>618</x:v>
      </x:c>
      <x:c r="P23" s="13">
        <x:v>619</x:v>
      </x:c>
      <x:c r="Q23" s="13">
        <x:v>620</x:v>
      </x:c>
      <x:c r="R23" s="13">
        <x:v>621</x:v>
      </x:c>
      <x:c r="S23" s="13">
        <x:v>622</x:v>
      </x:c>
      <x:c r="T23" s="13">
        <x:v>623</x:v>
      </x:c>
      <x:c r="U23" s="13">
        <x:v>624</x:v>
      </x:c>
      <x:c r="V23" s="13">
        <x:v>625</x:v>
      </x:c>
      <x:c r="W23" s="13">
        <x:v>626</x:v>
      </x:c>
      <x:c r="X23" s="13">
        <x:v>627</x:v>
      </x:c>
      <x:c r="Y23" s="13">
        <x:v>628</x:v>
      </x:c>
      <x:c r="Z23" s="13">
        <x:v>629</x:v>
      </x:c>
      <x:c r="AA23" s="13">
        <x:v>630</x:v>
      </x:c>
    </x:row>
    <x:row r="24">
      <x:c r="J24" s="13">
        <x:v>649</x:v>
      </x:c>
      <x:c r="K24" s="13">
        <x:v>650</x:v>
      </x:c>
      <x:c r="L24" s="13">
        <x:v>651</x:v>
      </x:c>
      <x:c r="M24" s="13">
        <x:v>652</x:v>
      </x:c>
      <x:c r="N24" s="13">
        <x:v>653</x:v>
      </x:c>
      <x:c r="O24" s="13">
        <x:v>654</x:v>
      </x:c>
      <x:c r="P24" s="13">
        <x:v>655</x:v>
      </x:c>
      <x:c r="Q24" s="13">
        <x:v>656</x:v>
      </x:c>
      <x:c r="R24" s="13">
        <x:v>657</x:v>
      </x:c>
      <x:c r="S24" s="13">
        <x:v>658</x:v>
      </x:c>
      <x:c r="T24" s="13">
        <x:v>659</x:v>
      </x:c>
      <x:c r="U24" s="13">
        <x:v>660</x:v>
      </x:c>
      <x:c r="V24" s="13">
        <x:v>661</x:v>
      </x:c>
      <x:c r="W24" s="13">
        <x:v>662</x:v>
      </x:c>
      <x:c r="X24" s="13">
        <x:v>663</x:v>
      </x:c>
      <x:c r="Y24" s="13">
        <x:v>664</x:v>
      </x:c>
      <x:c r="Z24" s="13">
        <x:v>665</x:v>
      </x:c>
      <x:c r="AA24" s="13">
        <x:v>666</x:v>
      </x:c>
    </x:row>
    <x:row r="25">
      <x:c r="J25" s="13">
        <x:v>685</x:v>
      </x:c>
      <x:c r="K25" s="13">
        <x:v>686</x:v>
      </x:c>
      <x:c r="L25" s="13">
        <x:v>687</x:v>
      </x:c>
      <x:c r="M25" s="13">
        <x:v>688</x:v>
      </x:c>
      <x:c r="N25" s="13">
        <x:v>689</x:v>
      </x:c>
      <x:c r="O25" s="13">
        <x:v>690</x:v>
      </x:c>
      <x:c r="P25" s="13">
        <x:v>691</x:v>
      </x:c>
      <x:c r="Q25" s="13">
        <x:v>692</x:v>
      </x:c>
      <x:c r="R25" s="13">
        <x:v>693</x:v>
      </x:c>
      <x:c r="S25" s="13">
        <x:v>694</x:v>
      </x:c>
      <x:c r="T25" s="13">
        <x:v>695</x:v>
      </x:c>
      <x:c r="U25" s="13">
        <x:v>696</x:v>
      </x:c>
      <x:c r="V25" s="13">
        <x:v>697</x:v>
      </x:c>
      <x:c r="W25" s="13">
        <x:v>698</x:v>
      </x:c>
      <x:c r="X25" s="13">
        <x:v>699</x:v>
      </x:c>
      <x:c r="Y25" s="13">
        <x:v>700</x:v>
      </x:c>
      <x:c r="Z25" s="13">
        <x:v>701</x:v>
      </x:c>
      <x:c r="AA25" s="13">
        <x:v>702</x:v>
      </x:c>
    </x:row>
    <x:row r="26">
      <x:c r="J26" s="13">
        <x:v>721</x:v>
      </x:c>
      <x:c r="K26" s="13">
        <x:v>722</x:v>
      </x:c>
      <x:c r="L26" s="13">
        <x:v>723</x:v>
      </x:c>
      <x:c r="M26" s="13">
        <x:v>724</x:v>
      </x:c>
      <x:c r="N26" s="13">
        <x:v>725</x:v>
      </x:c>
      <x:c r="O26" s="13">
        <x:v>726</x:v>
      </x:c>
      <x:c r="P26" s="13">
        <x:v>727</x:v>
      </x:c>
      <x:c r="Q26" s="13">
        <x:v>728</x:v>
      </x:c>
      <x:c r="R26" s="13">
        <x:v>729</x:v>
      </x:c>
      <x:c r="S26" s="13">
        <x:v>730</x:v>
      </x:c>
      <x:c r="T26" s="13">
        <x:v>731</x:v>
      </x:c>
      <x:c r="U26" s="13">
        <x:v>732</x:v>
      </x:c>
      <x:c r="V26" s="13">
        <x:v>733</x:v>
      </x:c>
      <x:c r="W26" s="13">
        <x:v>734</x:v>
      </x:c>
      <x:c r="X26" s="13">
        <x:v>735</x:v>
      </x:c>
      <x:c r="Y26" s="13">
        <x:v>736</x:v>
      </x:c>
      <x:c r="Z26" s="13">
        <x:v>737</x:v>
      </x:c>
      <x:c r="AA26" s="13">
        <x:v>738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48" customWidth="1"/>
    <x:col min="2" max="20" width="22" customWidth="1"/>
  </x:cols>
  <x:sheetData>
    <x:row r="1">
      <x:c r="A1" s="14" t="s">
        <x:v>2</x:v>
      </x:c>
      <x:c r="B1" s="14" t="s">
        <x:v>13</x:v>
      </x:c>
      <x:c r="C1" s="14" t="s">
        <x:v>16</x:v>
      </x:c>
      <x:c r="D1" s="14" t="s">
        <x:v>19</x:v>
      </x:c>
      <x:c r="E1" s="14" t="s">
        <x:v>21</x:v>
      </x:c>
      <x:c r="F1" s="14" t="s">
        <x:v>23</x:v>
      </x:c>
      <x:c r="G1" s="14" t="s">
        <x:v>26</x:v>
      </x:c>
      <x:c r="H1" s="14" t="s">
        <x:v>28</x:v>
      </x:c>
      <x:c r="I1" s="14" t="s">
        <x:v>30</x:v>
      </x:c>
      <x:c r="J1" s="14" t="s">
        <x:v>32</x:v>
      </x:c>
      <x:c r="K1" s="14" t="s">
        <x:v>37</x:v>
      </x:c>
      <x:c r="L1" s="14" t="s">
        <x:v>20</x:v>
      </x:c>
      <x:c r="M1" s="14" t="s">
        <x:v>22</x:v>
      </x:c>
      <x:c r="N1" s="14" t="s">
        <x:v>80</x:v>
      </x:c>
      <x:c r="O1" s="14" t="s">
        <x:v>81</x:v>
      </x:c>
      <x:c r="P1" s="14" t="s">
        <x:v>82</x:v>
      </x:c>
      <x:c r="Q1" s="14" t="s">
        <x:v>119</x:v>
      </x:c>
      <x:c r="R1" s="14" t="s">
        <x:v>56</x:v>
      </x:c>
      <x:c r="S1" s="14" t="s">
        <x:v>59</x:v>
      </x:c>
      <x:c r="T1" s="14" t="s">
        <x:v>120</x:v>
      </x:c>
    </x:row>
    <x:row r="2" ht="29">
      <x:c r="A2" s="5" t="s">
        <x:v>3</x:v>
      </x:c>
      <x:c r="B2" s="5" t="s">
        <x:v>102</x:v>
      </x:c>
      <x:c r="C2" s="5" t="s">
        <x:v>121</x:v>
      </x:c>
      <x:c r="D2" s="5" t="s">
        <x:v>122</x:v>
      </x:c>
      <x:c r="E2" s="5" t="s">
        <x:v>123</x:v>
      </x:c>
      <x:c r="F2" s="5" t="s">
        <x:v>122</x:v>
      </x:c>
      <x:c r="G2" s="5" t="s">
        <x:v>124</x:v>
      </x:c>
      <x:c r="H2" s="5" t="s">
        <x:v>125</x:v>
      </x:c>
      <x:c r="I2" s="5" t="s">
        <x:v>126</x:v>
      </x:c>
      <x:c r="J2" s="5" t="s">
        <x:v>127</x:v>
      </x:c>
      <x:c r="K2" s="5" t="s">
        <x:v>128</x:v>
      </x:c>
      <x:c r="L2" s="5" t="s">
        <x:v>86</x:v>
      </x:c>
      <x:c r="M2" s="5" t="s">
        <x:v>99</x:v>
      </x:c>
      <x:c r="N2" s="5" t="s">
        <x:v>88</x:v>
      </x:c>
      <x:c r="O2" s="5" t="s">
        <x:v>95</x:v>
      </x:c>
      <x:c r="P2" s="5" t="s">
        <x:v>92</x:v>
      </x:c>
      <x:c r="Q2" s="5">
        <x:v>75</x:v>
      </x:c>
      <x:c r="R2" s="5" t="s">
        <x:v>129</x:v>
      </x:c>
      <x:c r="S2" s="5" t="s">
        <x:v>130</x:v>
      </x:c>
      <x:c r="T2" s="5" t="s">
        <x:v>131</x:v>
      </x:c>
    </x:row>
    <x:row r="3">
      <x:c r="A3" s="5" t="s">
        <x:v>132</x:v>
      </x:c>
      <x:c r="B3" s="5" t="s">
        <x:v>103</x:v>
      </x:c>
      <x:c r="C3" s="5" t="s">
        <x:v>133</x:v>
      </x:c>
      <x:c r="D3" s="5" t="s">
        <x:v>134</x:v>
      </x:c>
      <x:c r="E3" s="5" t="s">
        <x:v>58</x:v>
      </x:c>
      <x:c r="F3" s="5" t="s">
        <x:v>134</x:v>
      </x:c>
      <x:c r="G3" s="5" t="s">
        <x:v>124</x:v>
      </x:c>
      <x:c r="H3" s="5" t="s">
        <x:v>35</x:v>
      </x:c>
      <x:c r="I3" s="5" t="s">
        <x:v>126</x:v>
      </x:c>
      <x:c r="J3" s="5" t="s">
        <x:v>135</x:v>
      </x:c>
      <x:c r="K3" s="5" t="s">
        <x:v>136</x:v>
      </x:c>
      <x:c r="L3" s="5" t="s">
        <x:v>86</x:v>
      </x:c>
      <x:c r="M3" s="5" t="s">
        <x:v>99</x:v>
      </x:c>
      <x:c r="N3" s="5" t="s">
        <x:v>88</x:v>
      </x:c>
      <x:c r="O3" s="5" t="s">
        <x:v>89</x:v>
      </x:c>
      <x:c r="P3" s="5" t="s">
        <x:v>91</x:v>
      </x:c>
      <x:c r="Q3" s="5">
        <x:v>50</x:v>
      </x:c>
      <x:c r="R3" s="5" t="s">
        <x:v>129</x:v>
      </x:c>
      <x:c r="S3" s="5" t="s">
        <x:v>130</x:v>
      </x:c>
      <x:c r="T3" s="5" t="s">
        <x:v>137</x:v>
      </x:c>
    </x:row>
    <x:row r="4">
      <x:c r="A4" s="5" t="s">
        <x:v>138</x:v>
      </x:c>
      <x:c r="B4" s="5" t="s">
        <x:v>104</x:v>
      </x:c>
      <x:c r="C4" s="5" t="s">
        <x:v>139</x:v>
      </x:c>
      <x:c r="D4" s="5" t="s">
        <x:v>140</x:v>
      </x:c>
      <x:c r="E4" s="5" t="s">
        <x:v>123</x:v>
      </x:c>
      <x:c r="F4" s="5" t="s">
        <x:v>140</x:v>
      </x:c>
      <x:c r="G4" s="5" t="s">
        <x:v>124</x:v>
      </x:c>
      <x:c r="H4" s="5" t="s">
        <x:v>125</x:v>
      </x:c>
      <x:c r="I4" s="5" t="s">
        <x:v>126</x:v>
      </x:c>
      <x:c r="J4" s="5" t="s">
        <x:v>127</x:v>
      </x:c>
      <x:c r="K4" s="5" t="s">
        <x:v>128</x:v>
      </x:c>
      <x:c r="L4" s="5" t="s">
        <x:v>86</x:v>
      </x:c>
      <x:c r="M4" s="5" t="s">
        <x:v>99</x:v>
      </x:c>
      <x:c r="N4" s="5" t="s">
        <x:v>88</x:v>
      </x:c>
      <x:c r="O4" s="5" t="s">
        <x:v>95</x:v>
      </x:c>
      <x:c r="P4" s="5" t="s">
        <x:v>92</x:v>
      </x:c>
      <x:c r="Q4" s="5">
        <x:v>100</x:v>
      </x:c>
      <x:c r="R4" s="5" t="s">
        <x:v>129</x:v>
      </x:c>
      <x:c r="S4" s="5" t="s">
        <x:v>130</x:v>
      </x:c>
      <x:c r="T4" s="5" t="s">
        <x:v>137</x:v>
      </x:c>
    </x:row>
    <x:row r="5">
      <x:c r="A5" s="5" t="s">
        <x:v>141</x:v>
      </x:c>
      <x:c r="B5" s="5" t="s">
        <x:v>105</x:v>
      </x:c>
      <x:c r="C5" s="5" t="s">
        <x:v>142</x:v>
      </x:c>
      <x:c r="D5" s="5" t="s">
        <x:v>140</x:v>
      </x:c>
      <x:c r="E5" s="5" t="s">
        <x:v>123</x:v>
      </x:c>
      <x:c r="F5" s="5" t="s">
        <x:v>140</x:v>
      </x:c>
      <x:c r="G5" s="5" t="s">
        <x:v>124</x:v>
      </x:c>
      <x:c r="H5" s="5" t="s">
        <x:v>125</x:v>
      </x:c>
      <x:c r="I5" s="5" t="s">
        <x:v>126</x:v>
      </x:c>
      <x:c r="J5" s="5" t="s">
        <x:v>127</x:v>
      </x:c>
      <x:c r="K5" s="5" t="s">
        <x:v>128</x:v>
      </x:c>
      <x:c r="L5" s="5" t="s">
        <x:v>86</x:v>
      </x:c>
      <x:c r="M5" s="5" t="s">
        <x:v>99</x:v>
      </x:c>
      <x:c r="N5" s="5" t="s">
        <x:v>89</x:v>
      </x:c>
      <x:c r="O5" s="5" t="s">
        <x:v>89</x:v>
      </x:c>
      <x:c r="P5" s="5" t="s">
        <x:v>92</x:v>
      </x:c>
      <x:c r="Q5" s="5">
        <x:v>125</x:v>
      </x:c>
      <x:c r="R5" s="5" t="s">
        <x:v>129</x:v>
      </x:c>
      <x:c r="S5" s="5" t="s">
        <x:v>130</x:v>
      </x:c>
      <x:c r="T5" s="5" t="s">
        <x:v>137</x:v>
      </x:c>
    </x:row>
    <x:row r="6">
      <x:c r="A6" s="5" t="s">
        <x:v>143</x:v>
      </x:c>
      <x:c r="B6" s="5" t="s">
        <x:v>106</x:v>
      </x:c>
      <x:c r="C6" s="5" t="s">
        <x:v>144</x:v>
      </x:c>
      <x:c r="D6" s="5" t="s">
        <x:v>140</x:v>
      </x:c>
      <x:c r="E6" s="5" t="s">
        <x:v>123</x:v>
      </x:c>
      <x:c r="F6" s="5" t="s">
        <x:v>140</x:v>
      </x:c>
      <x:c r="G6" s="5" t="s">
        <x:v>124</x:v>
      </x:c>
      <x:c r="H6" s="5" t="s">
        <x:v>125</x:v>
      </x:c>
      <x:c r="I6" s="5" t="s">
        <x:v>126</x:v>
      </x:c>
      <x:c r="J6" s="5" t="s">
        <x:v>127</x:v>
      </x:c>
      <x:c r="K6" s="5" t="s">
        <x:v>128</x:v>
      </x:c>
      <x:c r="L6" s="5" t="s">
        <x:v>86</x:v>
      </x:c>
      <x:c r="M6" s="5" t="s">
        <x:v>99</x:v>
      </x:c>
      <x:c r="N6" s="5" t="s">
        <x:v>89</x:v>
      </x:c>
      <x:c r="O6" s="5" t="s">
        <x:v>95</x:v>
      </x:c>
      <x:c r="P6" s="5" t="s">
        <x:v>92</x:v>
      </x:c>
      <x:c r="Q6" s="5">
        <x:v>150</x:v>
      </x:c>
      <x:c r="R6" s="5" t="s">
        <x:v>129</x:v>
      </x:c>
      <x:c r="S6" s="5" t="s">
        <x:v>130</x:v>
      </x:c>
      <x:c r="T6" s="5" t="s">
        <x:v>137</x:v>
      </x:c>
    </x:row>
    <x:row r="7">
      <x:c r="A7" s="5" t="s">
        <x:v>145</x:v>
      </x:c>
      <x:c r="B7" s="5" t="s">
        <x:v>107</x:v>
      </x:c>
      <x:c r="C7" s="5" t="s">
        <x:v>121</x:v>
      </x:c>
      <x:c r="D7" s="5" t="s">
        <x:v>122</x:v>
      </x:c>
      <x:c r="E7" s="5" t="s">
        <x:v>123</x:v>
      </x:c>
      <x:c r="F7" s="5" t="s">
        <x:v>122</x:v>
      </x:c>
      <x:c r="G7" s="5" t="s">
        <x:v>124</x:v>
      </x:c>
      <x:c r="H7" s="5" t="s">
        <x:v>125</x:v>
      </x:c>
      <x:c r="I7" s="5" t="s">
        <x:v>126</x:v>
      </x:c>
      <x:c r="J7" s="5" t="s">
        <x:v>127</x:v>
      </x:c>
      <x:c r="K7" s="5" t="s">
        <x:v>128</x:v>
      </x:c>
      <x:c r="L7" s="5" t="s">
        <x:v>86</x:v>
      </x:c>
      <x:c r="M7" s="5" t="s">
        <x:v>99</x:v>
      </x:c>
      <x:c r="N7" s="5" t="s">
        <x:v>88</x:v>
      </x:c>
      <x:c r="O7" s="5" t="s">
        <x:v>95</x:v>
      </x:c>
      <x:c r="P7" s="5" t="s">
        <x:v>92</x:v>
      </x:c>
      <x:c r="Q7" s="5">
        <x:v>75</x:v>
      </x:c>
      <x:c r="R7" s="5" t="s">
        <x:v>129</x:v>
      </x:c>
      <x:c r="S7" s="5" t="s">
        <x:v>130</x:v>
      </x:c>
      <x:c r="T7" s="5" t="s">
        <x:v>146</x:v>
      </x:c>
    </x:row>
    <x:row r="8">
      <x:c r="A8" s="5" t="s">
        <x:v>147</x:v>
      </x:c>
      <x:c r="B8" s="5" t="s">
        <x:v>108</x:v>
      </x:c>
      <x:c r="C8" s="5" t="s">
        <x:v>142</x:v>
      </x:c>
      <x:c r="D8" s="5" t="s">
        <x:v>140</x:v>
      </x:c>
      <x:c r="E8" s="5" t="s">
        <x:v>123</x:v>
      </x:c>
      <x:c r="F8" s="5" t="s">
        <x:v>140</x:v>
      </x:c>
      <x:c r="G8" s="5" t="s">
        <x:v>124</x:v>
      </x:c>
      <x:c r="H8" s="5" t="s">
        <x:v>125</x:v>
      </x:c>
      <x:c r="I8" s="5" t="s">
        <x:v>126</x:v>
      </x:c>
      <x:c r="J8" s="5" t="s">
        <x:v>127</x:v>
      </x:c>
      <x:c r="K8" s="5" t="s">
        <x:v>128</x:v>
      </x:c>
      <x:c r="L8" s="5" t="s">
        <x:v>86</x:v>
      </x:c>
      <x:c r="M8" s="5" t="s">
        <x:v>99</x:v>
      </x:c>
      <x:c r="N8" s="5" t="s">
        <x:v>89</x:v>
      </x:c>
      <x:c r="O8" s="5" t="s">
        <x:v>95</x:v>
      </x:c>
      <x:c r="P8" s="5" t="s">
        <x:v>91</x:v>
      </x:c>
      <x:c r="Q8" s="5">
        <x:v>125</x:v>
      </x:c>
      <x:c r="R8" s="5" t="s">
        <x:v>129</x:v>
      </x:c>
      <x:c r="S8" s="5" t="s">
        <x:v>130</x:v>
      </x:c>
      <x:c r="T8" s="5" t="s">
        <x:v>146</x:v>
      </x:c>
    </x:row>
    <x:row r="9">
      <x:c r="A9" s="5" t="s">
        <x:v>148</x:v>
      </x:c>
      <x:c r="B9" s="5" t="s">
        <x:v>109</x:v>
      </x:c>
      <x:c r="C9" s="5" t="s">
        <x:v>133</x:v>
      </x:c>
      <x:c r="D9" s="5" t="s">
        <x:v>134</x:v>
      </x:c>
      <x:c r="E9" s="5" t="s">
        <x:v>58</x:v>
      </x:c>
      <x:c r="F9" s="5" t="s">
        <x:v>134</x:v>
      </x:c>
      <x:c r="G9" s="5" t="s">
        <x:v>124</x:v>
      </x:c>
      <x:c r="H9" s="5" t="s">
        <x:v>35</x:v>
      </x:c>
      <x:c r="I9" s="5" t="s">
        <x:v>126</x:v>
      </x:c>
      <x:c r="J9" s="5" t="s">
        <x:v>135</x:v>
      </x:c>
      <x:c r="K9" s="5" t="s">
        <x:v>136</x:v>
      </x:c>
      <x:c r="L9" s="5" t="s">
        <x:v>86</x:v>
      </x:c>
      <x:c r="M9" s="5" t="s">
        <x:v>99</x:v>
      </x:c>
      <x:c r="N9" s="5" t="s">
        <x:v>88</x:v>
      </x:c>
      <x:c r="O9" s="5" t="s">
        <x:v>89</x:v>
      </x:c>
      <x:c r="P9" s="5" t="s">
        <x:v>90</x:v>
      </x:c>
      <x:c r="Q9" s="5">
        <x:v>40</x:v>
      </x:c>
      <x:c r="R9" s="5" t="s">
        <x:v>129</x:v>
      </x:c>
      <x:c r="S9" s="5" t="s">
        <x:v>130</x:v>
      </x:c>
      <x:c r="T9" s="5" t="s">
        <x:v>137</x:v>
      </x:c>
    </x:row>
    <x:row r="10">
      <x:c r="A10" s="5" t="s">
        <x:v>149</x:v>
      </x:c>
      <x:c r="B10" s="5" t="s">
        <x:v>110</x:v>
      </x:c>
      <x:c r="C10" s="5" t="s">
        <x:v>121</x:v>
      </x:c>
      <x:c r="D10" s="5" t="s">
        <x:v>134</x:v>
      </x:c>
      <x:c r="E10" s="5" t="s">
        <x:v>58</x:v>
      </x:c>
      <x:c r="F10" s="5" t="s">
        <x:v>134</x:v>
      </x:c>
      <x:c r="G10" s="5" t="s">
        <x:v>124</x:v>
      </x:c>
      <x:c r="H10" s="5" t="s">
        <x:v>125</x:v>
      </x:c>
      <x:c r="I10" s="5" t="s">
        <x:v>126</x:v>
      </x:c>
      <x:c r="J10" s="5" t="s">
        <x:v>135</x:v>
      </x:c>
      <x:c r="K10" s="5" t="s">
        <x:v>136</x:v>
      </x:c>
      <x:c r="L10" s="5" t="s">
        <x:v>86</x:v>
      </x:c>
      <x:c r="M10" s="5" t="s">
        <x:v>99</x:v>
      </x:c>
      <x:c r="N10" s="5" t="s">
        <x:v>88</x:v>
      </x:c>
      <x:c r="O10" s="5" t="s">
        <x:v>89</x:v>
      </x:c>
      <x:c r="P10" s="5" t="s">
        <x:v>92</x:v>
      </x:c>
      <x:c r="Q10" s="5">
        <x:v>60</x:v>
      </x:c>
      <x:c r="R10" s="5" t="s">
        <x:v>129</x:v>
      </x:c>
      <x:c r="S10" s="5" t="s">
        <x:v>130</x:v>
      </x:c>
      <x:c r="T10" s="5" t="s">
        <x:v>137</x:v>
      </x:c>
    </x:row>
    <x:row r="11">
      <x:c r="A11" s="5" t="s">
        <x:v>150</x:v>
      </x:c>
      <x:c r="B11" s="5" t="s">
        <x:v>111</x:v>
      </x:c>
      <x:c r="C11" s="5" t="s">
        <x:v>142</x:v>
      </x:c>
      <x:c r="D11" s="5" t="s">
        <x:v>140</x:v>
      </x:c>
      <x:c r="E11" s="5" t="s">
        <x:v>123</x:v>
      </x:c>
      <x:c r="F11" s="5" t="s">
        <x:v>140</x:v>
      </x:c>
      <x:c r="G11" s="5" t="s">
        <x:v>124</x:v>
      </x:c>
      <x:c r="H11" s="5" t="s">
        <x:v>125</x:v>
      </x:c>
      <x:c r="I11" s="5" t="s">
        <x:v>126</x:v>
      </x:c>
      <x:c r="J11" s="5" t="s">
        <x:v>127</x:v>
      </x:c>
      <x:c r="K11" s="5" t="s">
        <x:v>128</x:v>
      </x:c>
      <x:c r="L11" s="5" t="s">
        <x:v>86</x:v>
      </x:c>
      <x:c r="M11" s="5" t="s">
        <x:v>99</x:v>
      </x:c>
      <x:c r="N11" s="5" t="s">
        <x:v>88</x:v>
      </x:c>
      <x:c r="O11" s="5" t="s">
        <x:v>95</x:v>
      </x:c>
      <x:c r="P11" s="5" t="s">
        <x:v>92</x:v>
      </x:c>
      <x:c r="Q11" s="5">
        <x:v>100</x:v>
      </x:c>
      <x:c r="R11" s="5" t="s">
        <x:v>129</x:v>
      </x:c>
      <x:c r="S11" s="5" t="s">
        <x:v>130</x:v>
      </x:c>
      <x:c r="T11" s="5" t="s">
        <x:v>137</x:v>
      </x:c>
    </x:row>
    <x:row r="12">
      <x:c r="A12" s="5" t="s">
        <x:v>151</x:v>
      </x:c>
      <x:c r="B12" s="5" t="s">
        <x:v>112</x:v>
      </x:c>
      <x:c r="C12" s="5" t="s">
        <x:v>144</x:v>
      </x:c>
      <x:c r="D12" s="5" t="s">
        <x:v>140</x:v>
      </x:c>
      <x:c r="E12" s="5" t="s">
        <x:v>123</x:v>
      </x:c>
      <x:c r="F12" s="5" t="s">
        <x:v>140</x:v>
      </x:c>
      <x:c r="G12" s="5" t="s">
        <x:v>124</x:v>
      </x:c>
      <x:c r="H12" s="5" t="s">
        <x:v>125</x:v>
      </x:c>
      <x:c r="I12" s="5" t="s">
        <x:v>126</x:v>
      </x:c>
      <x:c r="J12" s="5" t="s">
        <x:v>127</x:v>
      </x:c>
      <x:c r="K12" s="5" t="s">
        <x:v>128</x:v>
      </x:c>
      <x:c r="L12" s="5" t="s">
        <x:v>86</x:v>
      </x:c>
      <x:c r="M12" s="5" t="s">
        <x:v>99</x:v>
      </x:c>
      <x:c r="N12" s="5" t="s">
        <x:v>89</x:v>
      </x:c>
      <x:c r="O12" s="5" t="s">
        <x:v>95</x:v>
      </x:c>
      <x:c r="P12" s="5" t="s">
        <x:v>92</x:v>
      </x:c>
      <x:c r="Q12" s="5">
        <x:v>150</x:v>
      </x:c>
      <x:c r="R12" s="5" t="s">
        <x:v>129</x:v>
      </x:c>
      <x:c r="S12" s="5" t="s">
        <x:v>130</x:v>
      </x:c>
      <x:c r="T12" s="5" t="s">
        <x:v>137</x:v>
      </x:c>
    </x:row>
    <x:row r="13">
      <x:c r="A13" s="5" t="s">
        <x:v>152</x:v>
      </x:c>
      <x:c r="B13" s="5" t="s">
        <x:v>113</x:v>
      </x:c>
      <x:c r="C13" s="5" t="s">
        <x:v>133</x:v>
      </x:c>
      <x:c r="D13" s="5" t="s">
        <x:v>134</x:v>
      </x:c>
      <x:c r="E13" s="5" t="s">
        <x:v>58</x:v>
      </x:c>
      <x:c r="F13" s="5" t="s">
        <x:v>134</x:v>
      </x:c>
      <x:c r="G13" s="5" t="s">
        <x:v>124</x:v>
      </x:c>
      <x:c r="H13" s="5" t="s">
        <x:v>35</x:v>
      </x:c>
      <x:c r="I13" s="5" t="s">
        <x:v>126</x:v>
      </x:c>
      <x:c r="J13" s="5" t="s">
        <x:v>135</x:v>
      </x:c>
      <x:c r="K13" s="5" t="s">
        <x:v>136</x:v>
      </x:c>
      <x:c r="L13" s="5" t="s">
        <x:v>86</x:v>
      </x:c>
      <x:c r="M13" s="5" t="s">
        <x:v>99</x:v>
      </x:c>
      <x:c r="N13" s="5" t="s">
        <x:v>88</x:v>
      </x:c>
      <x:c r="O13" s="5" t="s">
        <x:v>97</x:v>
      </x:c>
      <x:c r="P13" s="5" t="s">
        <x:v>96</x:v>
      </x:c>
      <x:c r="Q13" s="5">
        <x:v>40</x:v>
      </x:c>
      <x:c r="R13" s="5" t="s">
        <x:v>129</x:v>
      </x:c>
      <x:c r="S13" s="5" t="s">
        <x:v>130</x:v>
      </x:c>
      <x:c r="T13" s="5" t="s">
        <x:v>153</x:v>
      </x:c>
    </x:row>
    <x:row r="14">
      <x:c r="A14" s="5" t="s">
        <x:v>154</x:v>
      </x:c>
      <x:c r="B14" s="5" t="s">
        <x:v>114</x:v>
      </x:c>
      <x:c r="C14" s="5" t="s">
        <x:v>121</x:v>
      </x:c>
      <x:c r="D14" s="5" t="s">
        <x:v>140</x:v>
      </x:c>
      <x:c r="E14" s="5" t="s">
        <x:v>123</x:v>
      </x:c>
      <x:c r="F14" s="5" t="s">
        <x:v>140</x:v>
      </x:c>
      <x:c r="G14" s="5" t="s">
        <x:v>124</x:v>
      </x:c>
      <x:c r="H14" s="5" t="s">
        <x:v>125</x:v>
      </x:c>
      <x:c r="I14" s="5" t="s">
        <x:v>126</x:v>
      </x:c>
      <x:c r="J14" s="5" t="s">
        <x:v>127</x:v>
      </x:c>
      <x:c r="K14" s="5" t="s">
        <x:v>128</x:v>
      </x:c>
      <x:c r="L14" s="5" t="s">
        <x:v>86</x:v>
      </x:c>
      <x:c r="M14" s="5" t="s">
        <x:v>99</x:v>
      </x:c>
      <x:c r="N14" s="5" t="s">
        <x:v>88</x:v>
      </x:c>
      <x:c r="O14" s="5" t="s">
        <x:v>98</x:v>
      </x:c>
      <x:c r="P14" s="5" t="s">
        <x:v>92</x:v>
      </x:c>
      <x:c r="Q14" s="5">
        <x:v>75</x:v>
      </x:c>
      <x:c r="R14" s="5" t="s">
        <x:v>129</x:v>
      </x:c>
      <x:c r="S14" s="5" t="s">
        <x:v>130</x:v>
      </x:c>
      <x:c r="T14" s="5" t="s">
        <x:v>153</x:v>
      </x:c>
    </x:row>
    <x:row r="15">
      <x:c r="A15" s="5" t="s">
        <x:v>155</x:v>
      </x:c>
      <x:c r="B15" s="5" t="s">
        <x:v>115</x:v>
      </x:c>
      <x:c r="C15" s="5" t="s">
        <x:v>142</x:v>
      </x:c>
      <x:c r="D15" s="5" t="s">
        <x:v>140</x:v>
      </x:c>
      <x:c r="E15" s="5" t="s">
        <x:v>123</x:v>
      </x:c>
      <x:c r="F15" s="5" t="s">
        <x:v>140</x:v>
      </x:c>
      <x:c r="G15" s="5" t="s">
        <x:v>124</x:v>
      </x:c>
      <x:c r="H15" s="5" t="s">
        <x:v>125</x:v>
      </x:c>
      <x:c r="I15" s="5" t="s">
        <x:v>126</x:v>
      </x:c>
      <x:c r="J15" s="5" t="s">
        <x:v>127</x:v>
      </x:c>
      <x:c r="K15" s="5" t="s">
        <x:v>128</x:v>
      </x:c>
      <x:c r="L15" s="5" t="s">
        <x:v>86</x:v>
      </x:c>
      <x:c r="M15" s="5" t="s">
        <x:v>99</x:v>
      </x:c>
      <x:c r="N15" s="5" t="s">
        <x:v>89</x:v>
      </x:c>
      <x:c r="O15" s="5" t="s">
        <x:v>89</x:v>
      </x:c>
      <x:c r="P15" s="5" t="s">
        <x:v>92</x:v>
      </x:c>
      <x:c r="Q15" s="5">
        <x:v>125</x:v>
      </x:c>
      <x:c r="R15" s="5" t="s">
        <x:v>129</x:v>
      </x:c>
      <x:c r="S15" s="5" t="s">
        <x:v>130</x:v>
      </x:c>
      <x:c r="T15" s="5" t="s">
        <x:v>153</x:v>
      </x:c>
    </x:row>
    <x:row r="16">
      <x:c r="A16" s="5" t="s">
        <x:v>156</x:v>
      </x:c>
      <x:c r="B16" s="5" t="s">
        <x:v>116</x:v>
      </x:c>
      <x:c r="C16" s="5" t="s">
        <x:v>133</x:v>
      </x:c>
      <x:c r="D16" s="5" t="s">
        <x:v>134</x:v>
      </x:c>
      <x:c r="E16" s="5" t="s">
        <x:v>58</x:v>
      </x:c>
      <x:c r="F16" s="5" t="s">
        <x:v>134</x:v>
      </x:c>
      <x:c r="G16" s="5" t="s">
        <x:v>124</x:v>
      </x:c>
      <x:c r="H16" s="5" t="s">
        <x:v>35</x:v>
      </x:c>
      <x:c r="I16" s="5" t="s">
        <x:v>126</x:v>
      </x:c>
      <x:c r="J16" s="5" t="s">
        <x:v>135</x:v>
      </x:c>
      <x:c r="K16" s="5" t="s">
        <x:v>136</x:v>
      </x:c>
      <x:c r="L16" s="5" t="s">
        <x:v>86</x:v>
      </x:c>
      <x:c r="M16" s="5" t="s">
        <x:v>99</x:v>
      </x:c>
      <x:c r="N16" s="5" t="s">
        <x:v>88</x:v>
      </x:c>
      <x:c r="O16" s="5" t="s">
        <x:v>89</x:v>
      </x:c>
      <x:c r="P16" s="5" t="s">
        <x:v>91</x:v>
      </x:c>
      <x:c r="Q16" s="5">
        <x:v>40</x:v>
      </x:c>
      <x:c r="R16" s="5" t="s">
        <x:v>129</x:v>
      </x:c>
      <x:c r="S16" s="5" t="s">
        <x:v>130</x:v>
      </x:c>
      <x:c r="T16" s="5" t="s">
        <x:v>137</x:v>
      </x:c>
    </x:row>
    <x:row r="17">
      <x:c r="A17" s="5" t="s">
        <x:v>157</x:v>
      </x:c>
      <x:c r="B17" s="5" t="s">
        <x:v>117</x:v>
      </x:c>
      <x:c r="C17" s="5" t="s">
        <x:v>121</x:v>
      </x:c>
      <x:c r="D17" s="5" t="s">
        <x:v>140</x:v>
      </x:c>
      <x:c r="E17" s="5" t="s">
        <x:v>123</x:v>
      </x:c>
      <x:c r="F17" s="5" t="s">
        <x:v>140</x:v>
      </x:c>
      <x:c r="G17" s="5" t="s">
        <x:v>124</x:v>
      </x:c>
      <x:c r="H17" s="5" t="s">
        <x:v>125</x:v>
      </x:c>
      <x:c r="I17" s="5" t="s">
        <x:v>126</x:v>
      </x:c>
      <x:c r="J17" s="5" t="s">
        <x:v>127</x:v>
      </x:c>
      <x:c r="K17" s="5" t="s">
        <x:v>128</x:v>
      </x:c>
      <x:c r="L17" s="5" t="s">
        <x:v>86</x:v>
      </x:c>
      <x:c r="M17" s="5" t="s">
        <x:v>99</x:v>
      </x:c>
      <x:c r="N17" s="5" t="s">
        <x:v>88</x:v>
      </x:c>
      <x:c r="O17" s="5" t="s">
        <x:v>95</x:v>
      </x:c>
      <x:c r="P17" s="5" t="s">
        <x:v>92</x:v>
      </x:c>
      <x:c r="Q17" s="5">
        <x:v>75</x:v>
      </x:c>
      <x:c r="R17" s="5" t="s">
        <x:v>129</x:v>
      </x:c>
      <x:c r="S17" s="5" t="s">
        <x:v>130</x:v>
      </x:c>
      <x:c r="T17" s="5" t="s">
        <x:v>137</x:v>
      </x:c>
    </x:row>
    <x:row r="18">
      <x:c r="A18" s="5" t="s">
        <x:v>158</x:v>
      </x:c>
      <x:c r="B18" s="5" t="s">
        <x:v>118</x:v>
      </x:c>
      <x:c r="C18" s="5" t="s">
        <x:v>142</x:v>
      </x:c>
      <x:c r="D18" s="5" t="s">
        <x:v>140</x:v>
      </x:c>
      <x:c r="E18" s="5" t="s">
        <x:v>123</x:v>
      </x:c>
      <x:c r="F18" s="5" t="s">
        <x:v>140</x:v>
      </x:c>
      <x:c r="G18" s="5" t="s">
        <x:v>124</x:v>
      </x:c>
      <x:c r="H18" s="5" t="s">
        <x:v>125</x:v>
      </x:c>
      <x:c r="I18" s="5" t="s">
        <x:v>126</x:v>
      </x:c>
      <x:c r="J18" s="5" t="s">
        <x:v>127</x:v>
      </x:c>
      <x:c r="K18" s="5" t="s">
        <x:v>128</x:v>
      </x:c>
      <x:c r="L18" s="5" t="s">
        <x:v>86</x:v>
      </x:c>
      <x:c r="M18" s="5" t="s">
        <x:v>99</x:v>
      </x:c>
      <x:c r="N18" s="5" t="s">
        <x:v>89</x:v>
      </x:c>
      <x:c r="O18" s="5" t="s">
        <x:v>95</x:v>
      </x:c>
      <x:c r="P18" s="5" t="s">
        <x:v>92</x:v>
      </x:c>
      <x:c r="Q18" s="5">
        <x:v>125</x:v>
      </x:c>
      <x:c r="R18" s="5" t="s">
        <x:v>129</x:v>
      </x:c>
      <x:c r="S18" s="5" t="s">
        <x:v>130</x:v>
      </x:c>
      <x:c r="T18" s="5" t="s">
        <x:v>137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2" max="2" width="96.63999938964844" hidden="0" customWidth="1"/>
    <x:col min="3" max="3" width="90" customWidth="1"/>
    <x:col min="1" max="1" width="14.270000457763672" hidden="0" customWidth="1"/>
  </x:cols>
  <x:sheetData>
    <x:row r="1">
      <x:c r="A1" s="82" t="str">
        <x:v>Formal Quote</x:v>
      </x:c>
    </x:row>
    <x:row r="2" ht="26">
      <x:c r="B2" s="15"/>
    </x:row>
    <x:row r="3">
      <x:c r="A3" s="58" t="str">
        <x:v>Quote No</x:v>
      </x:c>
      <x:c r="B3" t="str">
        <x:f>'PX Configurator'!B3</x:f>
        <x:v>PX-Q-001</x:v>
      </x:c>
    </x:row>
    <x:row r="4">
      <x:c r="A4" s="58" t="str">
        <x:v>Customer</x:v>
      </x:c>
      <x:c r="B4" s="16" t="str">
        <x:f>'PX Configurator'!B4</x:f>
        <x:v>Sample Customer</x:v>
      </x:c>
      <x:c r="C4" s="17"/>
    </x:row>
    <x:row r="5">
      <x:c r="A5" s="58" t="str">
        <x:v>Date</x:v>
      </x:c>
      <x:c r="B5" s="87" t="n">
        <x:f>'PX Configurator'!B5</x:f>
        <x:v>46175</x:v>
      </x:c>
      <x:c r="C5" s="17"/>
    </x:row>
    <x:row r="6">
      <x:c r="A6" s="58" t="str">
        <x:v>Product Family</x:v>
      </x:c>
      <x:c r="B6" s="16" t="str">
        <x:f>'PX Configurator'!B7</x:f>
        <x:v>PX200 Heavy Duty</x:v>
      </x:c>
      <x:c r="C6" s="17"/>
    </x:row>
    <x:row r="7">
      <x:c r="A7" s="58" t="str">
        <x:v>Size</x:v>
      </x:c>
      <x:c r="B7" s="16" t="str">
        <x:f>'PX Configurator'!B8</x:f>
        <x:v>Medium</x:v>
      </x:c>
      <x:c r="C7" s="17"/>
    </x:row>
    <x:row r="8">
      <x:c r="A8" s="58" t="str">
        <x:v>Material</x:v>
      </x:c>
      <x:c r="B8" s="16" t="str">
        <x:f>'PX Configurator'!B9</x:f>
        <x:v>Steel</x:v>
      </x:c>
      <x:c r="C8" s="17"/>
    </x:row>
    <x:row r="9">
      <x:c r="A9" s="58" t="str">
        <x:v>Voltage</x:v>
      </x:c>
      <x:c r="B9" s="16" t="str">
        <x:f>'PX Configurator'!B11</x:f>
        <x:v>240V</x:v>
      </x:c>
      <x:c r="C9" s="17"/>
    </x:row>
    <x:row r="10">
      <x:c r="A10" s="58" t="str">
        <x:v>Controls</x:v>
      </x:c>
      <x:c r="B10" s="16" t="str">
        <x:f>'PX Configurator'!B13</x:f>
        <x:v>Digital</x:v>
      </x:c>
      <x:c r="C10" s="17"/>
    </x:row>
    <x:row r="11">
      <x:c r="A11" s="58" t="str">
        <x:v>Total Quote</x:v>
      </x:c>
      <x:c r="B11" s="51" t="n">
        <x:f>'PX Configurator'!B28</x:f>
        <x:v>919.9325</x:v>
      </x:c>
    </x:row>
    <x:row r="12">
      <x:c r="A12" s="58" t="str">
        <x:v>Status</x:v>
      </x:c>
      <x:c r="B12" t="str">
        <x:f>'PX Configurator'!B6</x:f>
        <x:v>Draft</x:v>
      </x:c>
    </x:row>
    <x:row r="15">
      <x:c r="A15" s="89" t="str">
        <x:v>Notes</x:v>
      </x:c>
      <x:c r="B15" t="str">
        <x:v>Values updated from provided screenshots; prices added with a configurable price list and dropdown-driven calculations.</x:v>
      </x:c>
      <x:c r="C15"/>
      <x:c r="D15"/>
      <x:c r="E15"/>
    </x:row>
  </x:sheetData>
  <x:mergeCells>
    <x:mergeCell ref="A1:E1"/>
    <x:mergeCell ref="A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2" max="2" width="23.690000534057617" hidden="0" customWidth="1"/>
    <x:col min="3" max="3" width="6.460000038146973" hidden="0" customWidth="1"/>
    <x:col min="1" max="1" width="17.5" hidden="0" customWidth="1"/>
  </x:cols>
  <x:sheetData>
    <x:row r="1">
      <x:c r="A1" s="82" t="str">
        <x:v>Pricing Summary</x:v>
      </x:c>
    </x:row>
    <x:row r="2" ht="26">
      <x:c r="B2" s="15"/>
    </x:row>
    <x:row r="3">
      <x:c r="A3" s="66" t="str">
        <x:v>Quote No</x:v>
      </x:c>
      <x:c r="B3" t="str">
        <x:f>'PX Configurator'!B3</x:f>
        <x:v>PX-Q-001</x:v>
      </x:c>
    </x:row>
    <x:row r="4">
      <x:c r="A4" s="66" t="str">
        <x:v>Customer</x:v>
      </x:c>
      <x:c r="B4" s="16" t="str">
        <x:f>'PX Configurator'!B4</x:f>
        <x:v>Sample Customer</x:v>
      </x:c>
      <x:c r="C4" s="17"/>
    </x:row>
    <x:row r="5">
      <x:c r="A5" s="66" t="str">
        <x:v>Configuration</x:v>
      </x:c>
      <x:c r="B5" s="16" t="str">
        <x:f>'PX Configurator'!B7&amp;" | "&amp;'PX Configurator'!B8</x:f>
        <x:v>PX200 Heavy Duty | Medium</x:v>
      </x:c>
      <x:c r="C5" s="18"/>
    </x:row>
    <x:row r="6">
      <x:c r="A6" s="66" t="str">
        <x:v>Base Price</x:v>
      </x:c>
      <x:c r="B6" s="85" t="n">
        <x:f>'PX Configurator'!B21</x:f>
        <x:v>365</x:v>
      </x:c>
      <x:c r="C6" s="18"/>
    </x:row>
    <x:row r="7">
      <x:c r="A7" s="66" t="str">
        <x:v>Option Price</x:v>
      </x:c>
      <x:c r="B7" s="85" t="n">
        <x:f>'PX Configurator'!B22</x:f>
        <x:v>540</x:v>
      </x:c>
      <x:c r="C7" s="18"/>
    </x:row>
    <x:row r="8">
      <x:c r="A8" s="66" t="str">
        <x:v>Unit List Price</x:v>
      </x:c>
      <x:c r="B8" s="85" t="n">
        <x:f>'PX Configurator'!B23</x:f>
        <x:v>905</x:v>
      </x:c>
      <x:c r="C8" s="18"/>
    </x:row>
    <x:row r="9">
      <x:c r="A9" s="66" t="str">
        <x:v>Extended List Price</x:v>
      </x:c>
      <x:c r="B9" s="51" t="n">
        <x:f>'PX Configurator'!B24</x:f>
        <x:v>905</x:v>
      </x:c>
    </x:row>
    <x:row r="10">
      <x:c r="A10" s="66" t="str">
        <x:v>Discount Amount</x:v>
      </x:c>
      <x:c r="B10" s="51" t="n">
        <x:f>'PX Configurator'!B25</x:f>
        <x:v>45.25</x:v>
      </x:c>
    </x:row>
    <x:row r="11">
      <x:c r="A11" s="66" t="str">
        <x:v>Total Quote</x:v>
      </x:c>
      <x:c r="B11" s="51" t="n">
        <x:f>'PX Configurator'!B28</x:f>
        <x:v>919.9325</x:v>
      </x:c>
    </x:row>
    <x:row r="14">
      <x:c r="A14" s="46" t="str">
        <x:v>Component</x:v>
      </x:c>
      <x:c r="B14" s="46" t="str">
        <x:v>Selected Value</x:v>
      </x:c>
      <x:c r="C14" s="46" t="str">
        <x:v>Price</x:v>
      </x:c>
    </x:row>
    <x:row r="15">
      <x:c r="A15" t="str">
        <x:f>'PX Configurator'!A32</x:f>
        <x:v>Base Family / Size</x:v>
      </x:c>
      <x:c r="B15" t="str">
        <x:f>'PX Configurator'!B32</x:f>
        <x:v>PX200 Heavy Duty / Medium</x:v>
      </x:c>
      <x:c r="C15" s="51" t="n">
        <x:f>'PX Configurator'!C32</x:f>
        <x:v>365</x:v>
      </x:c>
    </x:row>
    <x:row r="16">
      <x:c r="A16" t="str">
        <x:f>'PX Configurator'!A33</x:f>
        <x:v>Material</x:v>
      </x:c>
      <x:c r="B16" t="str">
        <x:f>'PX Configurator'!B33</x:f>
        <x:v>Steel</x:v>
      </x:c>
      <x:c r="C16" s="51" t="n">
        <x:f>'PX Configurator'!C33</x:f>
        <x:v>80</x:v>
      </x:c>
    </x:row>
    <x:row r="17">
      <x:c r="A17" t="str">
        <x:f>'PX Configurator'!A34</x:f>
        <x:v>Finish</x:v>
      </x:c>
      <x:c r="B17" t="str">
        <x:f>'PX Configurator'!B34</x:f>
        <x:v>Powder Coat</x:v>
      </x:c>
      <x:c r="C17" s="51" t="n">
        <x:f>'PX Configurator'!C34</x:f>
        <x:v>90</x:v>
      </x:c>
    </x:row>
    <x:row r="18">
      <x:c r="A18" t="str">
        <x:f>'PX Configurator'!A35</x:f>
        <x:v>Voltage</x:v>
      </x:c>
      <x:c r="B18" t="str">
        <x:f>'PX Configurator'!B35</x:f>
        <x:v>240V</x:v>
      </x:c>
      <x:c r="C18" s="51" t="n">
        <x:f>'PX Configurator'!C35</x:f>
        <x:v>60</x:v>
      </x:c>
    </x:row>
    <x:row r="19">
      <x:c r="A19" t="str">
        <x:f>'PX Configurator'!A36</x:f>
        <x:v>Mounting</x:v>
      </x:c>
      <x:c r="B19" t="str">
        <x:f>'PX Configurator'!B36</x:f>
        <x:v>Floor</x:v>
      </x:c>
      <x:c r="C19" s="51" t="n">
        <x:f>'PX Configurator'!C36</x:f>
        <x:v>70</x:v>
      </x:c>
    </x:row>
    <x:row r="20">
      <x:c r="A20" t="str">
        <x:f>'PX Configurator'!A37</x:f>
        <x:v>Controls</x:v>
      </x:c>
      <x:c r="B20" t="str">
        <x:f>'PX Configurator'!B37</x:f>
        <x:v>Digital</x:v>
      </x:c>
      <x:c r="C20" s="51" t="n">
        <x:f>'PX Configurator'!C37</x:f>
        <x:v>150</x:v>
      </x:c>
    </x:row>
    <x:row r="21">
      <x:c r="A21" t="str">
        <x:f>'PX Configurator'!A38</x:f>
        <x:v>Packaging</x:v>
      </x:c>
      <x:c r="B21" t="str">
        <x:f>'PX Configurator'!B38</x:f>
        <x:v>Standard</x:v>
      </x:c>
      <x:c r="C21" s="51" t="n">
        <x:f>'PX Configurator'!C38</x:f>
        <x:v>40</x:v>
      </x:c>
    </x:row>
    <x:row r="22">
      <x:c r="A22" t="str">
        <x:f>'PX Configurator'!A39</x:f>
        <x:v>Warranty</x:v>
      </x:c>
      <x:c r="B22" t="str">
        <x:f>'PX Configurator'!B39</x:f>
        <x:v>2 Years</x:v>
      </x:c>
      <x:c r="C22" s="51" t="n">
        <x:f>'PX Configurator'!C39</x:f>
        <x:v>50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.530000686645508" hidden="0" customWidth="1"/>
    <x:col min="2" max="2" width="23.010000228881836" hidden="0" customWidth="1"/>
    <x:col min="3" max="3" width="17.5" hidden="0" customWidth="1"/>
    <x:col min="4" max="4" width="15.210000038146973" hidden="0" customWidth="1"/>
    <x:col min="5" max="5" width="11.84000015258789" hidden="0" customWidth="1"/>
    <x:col min="6" max="6" width="9.289999961853027" hidden="0" customWidth="1"/>
    <x:col min="7" max="7" width="6.590000152587891" hidden="0" customWidth="1"/>
    <x:col min="8" max="8" width="7.130000114440918" hidden="0" customWidth="1"/>
  </x:cols>
  <x:sheetData>
    <x:row r="1">
      <x:c r="A1" s="54" t="str">
        <x:v>PX Product Configurator</x:v>
      </x:c>
    </x:row>
    <x:row r="3">
      <x:c r="A3" s="58" t="str">
        <x:v>Quote No</x:v>
      </x:c>
      <x:c r="B3" t="str">
        <x:v>PX-Q-001</x:v>
      </x:c>
      <x:c r="D3" s="46" t="str">
        <x:v>Validation Check</x:v>
      </x:c>
      <x:c r="E3" s="46" t="str">
        <x:v>Result</x:v>
      </x:c>
    </x:row>
    <x:row r="4">
      <x:c r="A4" s="58" t="str">
        <x:v>Customer</x:v>
      </x:c>
      <x:c r="B4" t="str">
        <x:v>Sample Customer</x:v>
      </x:c>
      <x:c r="D4" t="str">
        <x:v>Configuration Valid</x:v>
      </x:c>
      <x:c r="E4" s="74" t="str">
        <x:f>IF(SUM(F9:F15)=0,"VALID","REVIEW")</x:f>
        <x:v>VALID</x:v>
      </x:c>
    </x:row>
    <x:row r="5">
      <x:c r="A5" s="58" t="str">
        <x:v>Date</x:v>
      </x:c>
      <x:c r="B5" s="61" t="n">
        <x:v>46175</x:v>
      </x:c>
      <x:c r="D5" t="str">
        <x:v>Blocking Errors</x:v>
      </x:c>
      <x:c r="E5" s="78" t="n">
        <x:f>SUM(F9:F15)</x:f>
        <x:v>0</x:v>
      </x:c>
    </x:row>
    <x:row r="6">
      <x:c r="A6" s="58" t="str">
        <x:v>Status</x:v>
      </x:c>
      <x:c r="B6" t="str">
        <x:v>Draft</x:v>
      </x:c>
      <x:c r="D6" t="str">
        <x:v>Warnings</x:v>
      </x:c>
      <x:c r="E6" s="78" t="n">
        <x:v>0</x:v>
      </x:c>
    </x:row>
    <x:row r="7">
      <x:c r="A7" s="58" t="str">
        <x:v>Product Family</x:v>
      </x:c>
      <x:c r="B7" t="str">
        <x:v>PX200 Heavy Duty</x:v>
      </x:c>
    </x:row>
    <x:row r="8">
      <x:c r="A8" s="58" t="str">
        <x:v>Size</x:v>
      </x:c>
      <x:c r="B8" t="str">
        <x:v>Medium</x:v>
      </x:c>
      <x:c r="C8" s="47" t="str">
        <x:v>Selected Option Price</x:v>
      </x:c>
      <x:c r="D8" s="46" t="str">
        <x:v>Field</x:v>
      </x:c>
      <x:c r="E8" s="46" t="str">
        <x:v>Selected Value</x:v>
      </x:c>
      <x:c r="F8" s="46" t="str">
        <x:v>Rule Match</x:v>
      </x:c>
      <x:c r="G8" s="46" t="str">
        <x:v>Severity</x:v>
      </x:c>
      <x:c r="H8" s="46" t="str">
        <x:v>Message</x:v>
      </x:c>
    </x:row>
    <x:row r="9">
      <x:c r="A9" s="58" t="str">
        <x:v>Material</x:v>
      </x:c>
      <x:c r="B9" t="str">
        <x:v>Steel</x:v>
      </x:c>
      <x:c r="C9" s="51" t="n">
        <x:f>IFERROR(VLOOKUP(A9&amp;"|"&amp;B9,'Price Lists'!$F$2:$I$50,4,FALSE),0)</x:f>
        <x:v>80</x:v>
      </x:c>
      <x:c r="D9" t="str">
        <x:v>Material</x:v>
      </x:c>
      <x:c r="E9" t="str">
        <x:f>B9</x:f>
        <x:v>Steel</x:v>
      </x:c>
      <x:c r="F9" t="n">
        <x:f>IF(C9&gt;0,0,1)</x:f>
        <x:v>0</x:v>
      </x:c>
      <x:c r="G9" t="str">
        <x:f>IF(F9=0,"OK","REVIEW")</x:f>
        <x:v>OK</x:v>
      </x:c>
      <x:c r="H9" t="str">
        <x:f>IF(F9=0,"","Missing/invalid price rule")</x:f>
      </x:c>
    </x:row>
    <x:row r="10">
      <x:c r="A10" s="58" t="str">
        <x:v>Finish</x:v>
      </x:c>
      <x:c r="B10" t="str">
        <x:v>Powder Coat</x:v>
      </x:c>
      <x:c r="C10" s="51" t="n">
        <x:f>IFERROR(VLOOKUP(A10&amp;"|"&amp;B10,'Price Lists'!$F$2:$I$50,4,FALSE),0)</x:f>
        <x:v>90</x:v>
      </x:c>
      <x:c r="D10" t="str">
        <x:v>Finish</x:v>
      </x:c>
      <x:c r="E10" t="str">
        <x:f>B10</x:f>
        <x:v>Powder Coat</x:v>
      </x:c>
      <x:c r="F10" t="n">
        <x:f>IF(C10&gt;0,0,1)</x:f>
        <x:v>0</x:v>
      </x:c>
      <x:c r="G10" t="str">
        <x:f>IF(F10=0,"OK","REVIEW")</x:f>
        <x:v>OK</x:v>
      </x:c>
      <x:c r="H10" t="str">
        <x:f>IF(F10=0,"","Missing/invalid price rule")</x:f>
      </x:c>
    </x:row>
    <x:row r="11">
      <x:c r="A11" s="58" t="str">
        <x:v>Voltage</x:v>
      </x:c>
      <x:c r="B11" t="str">
        <x:v>240V</x:v>
      </x:c>
      <x:c r="C11" s="51" t="n">
        <x:f>IFERROR(VLOOKUP(A11&amp;"|"&amp;B11,'Price Lists'!$F$2:$I$50,4,FALSE),0)</x:f>
        <x:v>60</x:v>
      </x:c>
      <x:c r="D11" t="str">
        <x:v>Voltage</x:v>
      </x:c>
      <x:c r="E11" t="str">
        <x:f>B11</x:f>
        <x:v>240V</x:v>
      </x:c>
      <x:c r="F11" t="n">
        <x:f>IF(C11&gt;0,0,1)</x:f>
        <x:v>0</x:v>
      </x:c>
      <x:c r="G11" t="str">
        <x:f>IF(F11=0,"OK","REVIEW")</x:f>
        <x:v>OK</x:v>
      </x:c>
      <x:c r="H11" t="str">
        <x:f>IF(F11=0,"","Missing/invalid price rule")</x:f>
      </x:c>
    </x:row>
    <x:row r="12">
      <x:c r="A12" s="58" t="str">
        <x:v>Mounting</x:v>
      </x:c>
      <x:c r="B12" t="str">
        <x:v>Floor</x:v>
      </x:c>
      <x:c r="C12" s="51" t="n">
        <x:f>IFERROR(VLOOKUP(A12&amp;"|"&amp;B12,'Price Lists'!$F$2:$I$50,4,FALSE),0)</x:f>
        <x:v>70</x:v>
      </x:c>
      <x:c r="D12" t="str">
        <x:v>Mounting</x:v>
      </x:c>
      <x:c r="E12" t="str">
        <x:f>B12</x:f>
        <x:v>Floor</x:v>
      </x:c>
      <x:c r="F12" t="n">
        <x:f>IF(C12&gt;0,0,1)</x:f>
        <x:v>0</x:v>
      </x:c>
      <x:c r="G12" t="str">
        <x:f>IF(F12=0,"OK","REVIEW")</x:f>
        <x:v>OK</x:v>
      </x:c>
      <x:c r="H12" t="str">
        <x:f>IF(F12=0,"","Missing/invalid price rule")</x:f>
      </x:c>
    </x:row>
    <x:row r="13">
      <x:c r="A13" s="58" t="str">
        <x:v>Controls</x:v>
      </x:c>
      <x:c r="B13" t="str">
        <x:v>Digital</x:v>
      </x:c>
      <x:c r="C13" s="51" t="n">
        <x:f>IFERROR(VLOOKUP(A13&amp;"|"&amp;B13,'Price Lists'!$F$2:$I$50,4,FALSE),0)</x:f>
        <x:v>150</x:v>
      </x:c>
      <x:c r="D13" t="str">
        <x:v>Controls</x:v>
      </x:c>
      <x:c r="E13" t="str">
        <x:f>B13</x:f>
        <x:v>Digital</x:v>
      </x:c>
      <x:c r="F13" t="n">
        <x:f>IF(C13&gt;0,0,1)</x:f>
        <x:v>0</x:v>
      </x:c>
      <x:c r="G13" t="str">
        <x:f>IF(F13=0,"OK","REVIEW")</x:f>
        <x:v>OK</x:v>
      </x:c>
      <x:c r="H13" t="str">
        <x:f>IF(F13=0,"","Missing/invalid price rule")</x:f>
      </x:c>
    </x:row>
    <x:row r="14">
      <x:c r="A14" s="58" t="str">
        <x:v>Packaging</x:v>
      </x:c>
      <x:c r="B14" t="str">
        <x:v>Standard</x:v>
      </x:c>
      <x:c r="C14" s="51" t="n">
        <x:f>IFERROR(VLOOKUP(A14&amp;"|"&amp;B14,'Price Lists'!$F$2:$I$50,4,FALSE),0)</x:f>
        <x:v>40</x:v>
      </x:c>
      <x:c r="D14" t="str">
        <x:v>Packaging</x:v>
      </x:c>
      <x:c r="E14" t="str">
        <x:f>B14</x:f>
        <x:v>Standard</x:v>
      </x:c>
      <x:c r="F14" t="n">
        <x:f>IF(C14&gt;0,0,1)</x:f>
        <x:v>0</x:v>
      </x:c>
      <x:c r="G14" t="str">
        <x:f>IF(F14=0,"OK","REVIEW")</x:f>
        <x:v>OK</x:v>
      </x:c>
      <x:c r="H14" t="str">
        <x:f>IF(F14=0,"","Missing/invalid price rule")</x:f>
      </x:c>
    </x:row>
    <x:row r="15">
      <x:c r="A15" s="58" t="str">
        <x:v>Warranty</x:v>
      </x:c>
      <x:c r="B15" t="str">
        <x:v>2 Years</x:v>
      </x:c>
      <x:c r="C15" s="51" t="n">
        <x:f>IFERROR(VLOOKUP(A15&amp;"|"&amp;B15,'Price Lists'!$F$2:$I$50,4,FALSE),0)</x:f>
        <x:v>50</x:v>
      </x:c>
      <x:c r="D15" t="str">
        <x:v>Warranty</x:v>
      </x:c>
      <x:c r="E15" t="str">
        <x:f>B15</x:f>
        <x:v>2 Years</x:v>
      </x:c>
      <x:c r="F15" t="n">
        <x:f>IF(C15&gt;0,0,1)</x:f>
        <x:v>0</x:v>
      </x:c>
      <x:c r="G15" t="str">
        <x:f>IF(F15=0,"OK","REVIEW")</x:f>
        <x:v>OK</x:v>
      </x:c>
      <x:c r="H15" t="str">
        <x:f>IF(F15=0,"","Missing/invalid price rule")</x:f>
      </x:c>
    </x:row>
    <x:row r="16">
      <x:c r="A16" s="58" t="str">
        <x:v>Quantity</x:v>
      </x:c>
      <x:c r="B16" t="n">
        <x:v>1</x:v>
      </x:c>
    </x:row>
    <x:row r="17">
      <x:c r="A17" s="58" t="str">
        <x:v>Discount %</x:v>
      </x:c>
      <x:c r="B17" s="63" t="n">
        <x:v>0.05</x:v>
      </x:c>
    </x:row>
    <x:row r="18">
      <x:c r="A18" s="58" t="str">
        <x:v>Tax Rate</x:v>
      </x:c>
      <x:c r="B18" s="63" t="n">
        <x:v>0.07</x:v>
      </x:c>
    </x:row>
    <x:row r="21">
      <x:c r="A21" s="66" t="str">
        <x:v>Base Price</x:v>
      </x:c>
      <x:c r="B21" s="51" t="n">
        <x:f>IFERROR(VLOOKUP(B7&amp;"|"&amp;B8,'Price Lists'!$A$2:$D$20,4,FALSE),0)</x:f>
        <x:v>365</x:v>
      </x:c>
    </x:row>
    <x:row r="22">
      <x:c r="A22" s="66" t="str">
        <x:v>Option Price</x:v>
      </x:c>
      <x:c r="B22" s="51" t="n">
        <x:f>SUM(C9:C15)</x:f>
        <x:v>540</x:v>
      </x:c>
    </x:row>
    <x:row r="23">
      <x:c r="A23" s="66" t="str">
        <x:v>Unit List Price</x:v>
      </x:c>
      <x:c r="B23" s="51" t="n">
        <x:f>B21+B22</x:f>
        <x:v>905</x:v>
      </x:c>
    </x:row>
    <x:row r="24">
      <x:c r="A24" s="66" t="str">
        <x:v>Extended List Price</x:v>
      </x:c>
      <x:c r="B24" s="51" t="n">
        <x:f>B23*B16</x:f>
        <x:v>905</x:v>
      </x:c>
    </x:row>
    <x:row r="25">
      <x:c r="A25" s="66" t="str">
        <x:v>Discount Amount</x:v>
      </x:c>
      <x:c r="B25" s="51" t="n">
        <x:f>B24*B17</x:f>
        <x:v>45.25</x:v>
      </x:c>
    </x:row>
    <x:row r="26">
      <x:c r="A26" s="66" t="str">
        <x:v>Subtotal</x:v>
      </x:c>
      <x:c r="B26" s="51" t="n">
        <x:f>B24-B25</x:f>
        <x:v>859.75</x:v>
      </x:c>
    </x:row>
    <x:row r="27">
      <x:c r="A27" s="66" t="str">
        <x:v>Tax</x:v>
      </x:c>
      <x:c r="B27" s="51" t="n">
        <x:f>B26*B18</x:f>
        <x:v>60.182500000000005</x:v>
      </x:c>
    </x:row>
    <x:row r="28">
      <x:c r="A28" s="46" t="str">
        <x:v>Total Quote</x:v>
      </x:c>
      <x:c r="B28" s="71" t="n">
        <x:f>B26+B27</x:f>
        <x:v>919.9325</x:v>
      </x:c>
    </x:row>
    <x:row r="31">
      <x:c r="A31" s="46" t="str">
        <x:v>Price Breakdown</x:v>
      </x:c>
      <x:c r="B31" s="46" t="str">
        <x:v>Selected Value</x:v>
      </x:c>
      <x:c r="C31" s="46" t="str">
        <x:v>Price</x:v>
      </x:c>
    </x:row>
    <x:row r="32">
      <x:c r="A32" t="str">
        <x:v>Base Family / Size</x:v>
      </x:c>
      <x:c r="B32" t="str">
        <x:f>B7&amp;" / "&amp;B8</x:f>
        <x:v>PX200 Heavy Duty / Medium</x:v>
      </x:c>
      <x:c r="C32" s="51" t="n">
        <x:f>B21</x:f>
        <x:v>365</x:v>
      </x:c>
    </x:row>
    <x:row r="33">
      <x:c r="A33" t="str">
        <x:v>Material</x:v>
      </x:c>
      <x:c r="B33" t="str">
        <x:f>B9</x:f>
        <x:v>Steel</x:v>
      </x:c>
      <x:c r="C33" s="51" t="n">
        <x:f>C9</x:f>
        <x:v>80</x:v>
      </x:c>
    </x:row>
    <x:row r="34">
      <x:c r="A34" t="str">
        <x:v>Finish</x:v>
      </x:c>
      <x:c r="B34" t="str">
        <x:f>B10</x:f>
        <x:v>Powder Coat</x:v>
      </x:c>
      <x:c r="C34" s="51" t="n">
        <x:f>C10</x:f>
        <x:v>90</x:v>
      </x:c>
    </x:row>
    <x:row r="35">
      <x:c r="A35" t="str">
        <x:v>Voltage</x:v>
      </x:c>
      <x:c r="B35" t="str">
        <x:f>B11</x:f>
        <x:v>240V</x:v>
      </x:c>
      <x:c r="C35" s="51" t="n">
        <x:f>C11</x:f>
        <x:v>60</x:v>
      </x:c>
    </x:row>
    <x:row r="36">
      <x:c r="A36" t="str">
        <x:v>Mounting</x:v>
      </x:c>
      <x:c r="B36" t="str">
        <x:f>B12</x:f>
        <x:v>Floor</x:v>
      </x:c>
      <x:c r="C36" s="51" t="n">
        <x:f>C12</x:f>
        <x:v>70</x:v>
      </x:c>
    </x:row>
    <x:row r="37">
      <x:c r="A37" t="str">
        <x:v>Controls</x:v>
      </x:c>
      <x:c r="B37" t="str">
        <x:f>B13</x:f>
        <x:v>Digital</x:v>
      </x:c>
      <x:c r="C37" s="51" t="n">
        <x:f>C13</x:f>
        <x:v>150</x:v>
      </x:c>
    </x:row>
    <x:row r="38">
      <x:c r="A38" t="str">
        <x:v>Packaging</x:v>
      </x:c>
      <x:c r="B38" t="str">
        <x:f>B14</x:f>
        <x:v>Standard</x:v>
      </x:c>
      <x:c r="C38" s="51" t="n">
        <x:f>C14</x:f>
        <x:v>40</x:v>
      </x:c>
    </x:row>
    <x:row r="39">
      <x:c r="A39" t="str">
        <x:v>Warranty</x:v>
      </x:c>
      <x:c r="B39" t="str">
        <x:f>B15</x:f>
        <x:v>2 Years</x:v>
      </x:c>
      <x:c r="C39" s="51" t="n">
        <x:f>C15</x:f>
        <x:v>50</x:v>
      </x:c>
    </x:row>
  </x:sheetData>
  <x:mergeCells>
    <x:mergeCell ref="A1:H1"/>
  </x:mergeCells>
  <x:dataValidations count="10">
    <x:dataValidation type="list" sqref="B6">
      <x:formula1>Price Lists!$U$2:$U$4</x:formula1>
    </x:dataValidation>
    <x:dataValidation type="list" sqref="B7">
      <x:formula1>Price Lists!$L$2:$L$4</x:formula1>
    </x:dataValidation>
    <x:dataValidation type="list" sqref="B8">
      <x:formula1>Price Lists!$M$2:$M$4</x:formula1>
    </x:dataValidation>
    <x:dataValidation type="list" sqref="B9">
      <x:formula1>Price Lists!$N$2:$N$4</x:formula1>
    </x:dataValidation>
    <x:dataValidation type="list" sqref="B10">
      <x:formula1>Price Lists!$O$2:$O$4</x:formula1>
    </x:dataValidation>
    <x:dataValidation type="list" sqref="B11">
      <x:formula1>Price Lists!$P$2:$P$4</x:formula1>
    </x:dataValidation>
    <x:dataValidation type="list" sqref="B12">
      <x:formula1>Price Lists!$Q$2:$Q$4</x:formula1>
    </x:dataValidation>
    <x:dataValidation type="list" sqref="B13">
      <x:formula1>Price Lists!$R$2:$R$4</x:formula1>
    </x:dataValidation>
    <x:dataValidation type="list" sqref="B14">
      <x:formula1>Price Lists!$S$2:$S$3</x:formula1>
    </x:dataValidation>
    <x:dataValidation type="list" sqref="B15">
      <x:formula1>Price Lists!$T$2:$T$4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.75" hidden="0" customWidth="1"/>
    <x:col min="2" max="2" width="15.069999694824219" hidden="0" customWidth="1"/>
    <x:col min="3" max="3" width="6.730000019073486" hidden="0" customWidth="1"/>
    <x:col min="4" max="4" width="8.34000015258789" hidden="0" customWidth="1"/>
    <x:col min="6" max="6" width="18.979999542236328" hidden="0" customWidth="1"/>
    <x:col min="7" max="7" width="7.809999942779541" hidden="0" customWidth="1"/>
    <x:col min="8" max="8" width="11.3100004196167" hidden="0" customWidth="1"/>
    <x:col min="9" max="9" width="10.09000015258789" hidden="0" customWidth="1"/>
    <x:col min="12" max="12" width="15.069999694824219" hidden="0" customWidth="1"/>
    <x:col min="13" max="13" width="6.730000019073486" hidden="0" customWidth="1"/>
    <x:col min="14" max="14" width="11.3100004196167" hidden="0" customWidth="1"/>
    <x:col min="15" max="15" width="10.229999542236328" hidden="0" customWidth="1"/>
    <x:col min="16" max="16" width="6.059999942779541" hidden="0" customWidth="1"/>
    <x:col min="17" max="17" width="7.940000057220459" hidden="0" customWidth="1"/>
    <x:col min="18" max="18" width="8.210000038146973" hidden="0" customWidth="1"/>
    <x:col min="19" max="19" width="9.829999923706055" hidden="0" customWidth="1"/>
    <x:col min="20" max="20" width="7.670000076293945" hidden="0" customWidth="1"/>
    <x:col min="21" max="21" width="7.670000076293945" hidden="0" customWidth="1"/>
  </x:cols>
  <x:sheetData>
    <x:row r="1">
      <x:c r="A1" s="47" t="str">
        <x:v>Key</x:v>
      </x:c>
      <x:c r="B1" s="47" t="str">
        <x:v>Product Family</x:v>
      </x:c>
      <x:c r="C1" s="47" t="str">
        <x:v>Size</x:v>
      </x:c>
      <x:c r="D1" s="47" t="str">
        <x:v>Base Price</x:v>
      </x:c>
      <x:c r="F1" s="47" t="str">
        <x:v>Key</x:v>
      </x:c>
      <x:c r="G1" s="47" t="str">
        <x:v>Field</x:v>
      </x:c>
      <x:c r="H1" s="47" t="str">
        <x:v>Option</x:v>
      </x:c>
      <x:c r="I1" s="47" t="str">
        <x:v>Option Price</x:v>
      </x:c>
      <x:c r="L1" s="47" t="str">
        <x:v>Product Family</x:v>
      </x:c>
      <x:c r="M1" s="47" t="str">
        <x:v>Size</x:v>
      </x:c>
      <x:c r="N1" s="47" t="str">
        <x:v>Material</x:v>
      </x:c>
      <x:c r="O1" s="47" t="str">
        <x:v>Finish</x:v>
      </x:c>
      <x:c r="P1" s="47" t="str">
        <x:v>Voltage</x:v>
      </x:c>
      <x:c r="Q1" s="47" t="str">
        <x:v>Mounting</x:v>
      </x:c>
      <x:c r="R1" s="47" t="str">
        <x:v>Controls</x:v>
      </x:c>
      <x:c r="S1" s="47" t="str">
        <x:v>Packaging</x:v>
      </x:c>
      <x:c r="T1" s="47" t="str">
        <x:v>Warranty</x:v>
      </x:c>
      <x:c r="U1" s="47" t="str">
        <x:v>Status</x:v>
      </x:c>
    </x:row>
    <x:row r="2">
      <x:c r="A2" t="str">
        <x:v>PX200 Heavy Duty|Small</x:v>
      </x:c>
      <x:c r="B2" t="str">
        <x:v>PX200 Heavy Duty</x:v>
      </x:c>
      <x:c r="C2" t="str">
        <x:v>Small</x:v>
      </x:c>
      <x:c r="D2" s="51" t="n">
        <x:v>285</x:v>
      </x:c>
      <x:c r="F2" t="str">
        <x:v>Material|Steel</x:v>
      </x:c>
      <x:c r="G2" t="str">
        <x:v>Material</x:v>
      </x:c>
      <x:c r="H2" t="str">
        <x:v>Steel</x:v>
      </x:c>
      <x:c r="I2" s="51" t="n">
        <x:v>80</x:v>
      </x:c>
      <x:c r="L2" t="str">
        <x:v>PX200 Heavy Duty</x:v>
      </x:c>
      <x:c r="M2" t="str">
        <x:v>Small</x:v>
      </x:c>
      <x:c r="N2" t="str">
        <x:v>Steel</x:v>
      </x:c>
      <x:c r="O2" t="str">
        <x:v>Paint</x:v>
      </x:c>
      <x:c r="P2" t="str">
        <x:v>120V</x:v>
      </x:c>
      <x:c r="Q2" t="str">
        <x:v>Floor</x:v>
      </x:c>
      <x:c r="R2" t="str">
        <x:v>Manual</x:v>
      </x:c>
      <x:c r="S2" t="str">
        <x:v>Standard</x:v>
      </x:c>
      <x:c r="T2" t="str">
        <x:v>1 Year</x:v>
      </x:c>
      <x:c r="U2" t="str">
        <x:v>Draft</x:v>
      </x:c>
    </x:row>
    <x:row r="3">
      <x:c r="A3" t="str">
        <x:v>PX200 Heavy Duty|Medium</x:v>
      </x:c>
      <x:c r="B3" t="str">
        <x:v>PX200 Heavy Duty</x:v>
      </x:c>
      <x:c r="C3" t="str">
        <x:v>Medium</x:v>
      </x:c>
      <x:c r="D3" s="51" t="n">
        <x:v>365</x:v>
      </x:c>
      <x:c r="F3" t="str">
        <x:v>Material|Stainless Steel</x:v>
      </x:c>
      <x:c r="G3" t="str">
        <x:v>Material</x:v>
      </x:c>
      <x:c r="H3" t="str">
        <x:v>Stainless Steel</x:v>
      </x:c>
      <x:c r="I3" s="51" t="n">
        <x:v>180</x:v>
      </x:c>
      <x:c r="L3" t="str">
        <x:v>PX100 Standard</x:v>
      </x:c>
      <x:c r="M3" t="str">
        <x:v>Medium</x:v>
      </x:c>
      <x:c r="N3" t="str">
        <x:v>Stainless Steel</x:v>
      </x:c>
      <x:c r="O3" t="str">
        <x:v>Powder Coat</x:v>
      </x:c>
      <x:c r="P3" t="str">
        <x:v>240V</x:v>
      </x:c>
      <x:c r="Q3" t="str">
        <x:v>Wall</x:v>
      </x:c>
      <x:c r="R3" t="str">
        <x:v>Digital</x:v>
      </x:c>
      <x:c r="S3" t="str">
        <x:v>Export Crate</x:v>
      </x:c>
      <x:c r="T3" t="str">
        <x:v>2 Years</x:v>
      </x:c>
      <x:c r="U3" t="str">
        <x:v>Reviewed</x:v>
      </x:c>
    </x:row>
    <x:row r="4">
      <x:c r="A4" t="str">
        <x:v>PX200 Heavy Duty|Large</x:v>
      </x:c>
      <x:c r="B4" t="str">
        <x:v>PX200 Heavy Duty</x:v>
      </x:c>
      <x:c r="C4" t="str">
        <x:v>Large</x:v>
      </x:c>
      <x:c r="D4" s="51" t="n">
        <x:v>485</x:v>
      </x:c>
      <x:c r="F4" t="str">
        <x:v>Material|Ductile Iron</x:v>
      </x:c>
      <x:c r="G4" t="str">
        <x:v>Material</x:v>
      </x:c>
      <x:c r="H4" t="str">
        <x:v>Ductile Iron</x:v>
      </x:c>
      <x:c r="I4" s="51" t="n">
        <x:v>125</x:v>
      </x:c>
      <x:c r="L4" t="str">
        <x:v>PX300 Severe Duty</x:v>
      </x:c>
      <x:c r="M4" t="str">
        <x:v>Large</x:v>
      </x:c>
      <x:c r="N4" t="str">
        <x:v>Ductile Iron</x:v>
      </x:c>
      <x:c r="O4" t="str">
        <x:v>Epoxy Coat</x:v>
      </x:c>
      <x:c r="P4" t="str">
        <x:v>480V</x:v>
      </x:c>
      <x:c r="Q4" t="str">
        <x:v>Skid</x:v>
      </x:c>
      <x:c r="R4" t="str">
        <x:v>PLC Ready</x:v>
      </x:c>
      <x:c r="S4" t="str"/>
      <x:c r="T4" t="str">
        <x:v>3 Years</x:v>
      </x:c>
      <x:c r="U4" t="str">
        <x:v>Approved</x:v>
      </x:c>
    </x:row>
    <x:row r="5">
      <x:c r="A5" t="str">
        <x:v>PX100 Standard|Small</x:v>
      </x:c>
      <x:c r="B5" t="str">
        <x:v>PX100 Standard</x:v>
      </x:c>
      <x:c r="C5" t="str">
        <x:v>Small</x:v>
      </x:c>
      <x:c r="D5" s="51" t="n">
        <x:v>225</x:v>
      </x:c>
      <x:c r="F5" t="str">
        <x:v>Finish|Paint</x:v>
      </x:c>
      <x:c r="G5" t="str">
        <x:v>Finish</x:v>
      </x:c>
      <x:c r="H5" t="str">
        <x:v>Paint</x:v>
      </x:c>
      <x:c r="I5" s="51" t="n">
        <x:v>35</x:v>
      </x:c>
    </x:row>
    <x:row r="6">
      <x:c r="A6" t="str">
        <x:v>PX100 Standard|Medium</x:v>
      </x:c>
      <x:c r="B6" t="str">
        <x:v>PX100 Standard</x:v>
      </x:c>
      <x:c r="C6" t="str">
        <x:v>Medium</x:v>
      </x:c>
      <x:c r="D6" s="51" t="n">
        <x:v>295</x:v>
      </x:c>
      <x:c r="F6" t="str">
        <x:v>Finish|Powder Coat</x:v>
      </x:c>
      <x:c r="G6" t="str">
        <x:v>Finish</x:v>
      </x:c>
      <x:c r="H6" t="str">
        <x:v>Powder Coat</x:v>
      </x:c>
      <x:c r="I6" s="51" t="n">
        <x:v>90</x:v>
      </x:c>
    </x:row>
    <x:row r="7">
      <x:c r="A7" t="str">
        <x:v>PX100 Standard|Large</x:v>
      </x:c>
      <x:c r="B7" t="str">
        <x:v>PX100 Standard</x:v>
      </x:c>
      <x:c r="C7" t="str">
        <x:v>Large</x:v>
      </x:c>
      <x:c r="D7" s="51" t="n">
        <x:v>395</x:v>
      </x:c>
      <x:c r="F7" t="str">
        <x:v>Finish|Epoxy Coat</x:v>
      </x:c>
      <x:c r="G7" t="str">
        <x:v>Finish</x:v>
      </x:c>
      <x:c r="H7" t="str">
        <x:v>Epoxy Coat</x:v>
      </x:c>
      <x:c r="I7" s="51" t="n">
        <x:v>140</x:v>
      </x:c>
    </x:row>
    <x:row r="8">
      <x:c r="A8" t="str">
        <x:v>PX300 Severe Duty|Small</x:v>
      </x:c>
      <x:c r="B8" t="str">
        <x:v>PX300 Severe Duty</x:v>
      </x:c>
      <x:c r="C8" t="str">
        <x:v>Small</x:v>
      </x:c>
      <x:c r="D8" s="51" t="n">
        <x:v>425</x:v>
      </x:c>
      <x:c r="F8" t="str">
        <x:v>Voltage|120V</x:v>
      </x:c>
      <x:c r="G8" t="str">
        <x:v>Voltage</x:v>
      </x:c>
      <x:c r="H8" t="str">
        <x:v>120V</x:v>
      </x:c>
      <x:c r="I8" s="51" t="n">
        <x:v>30</x:v>
      </x:c>
    </x:row>
    <x:row r="9">
      <x:c r="A9" t="str">
        <x:v>PX300 Severe Duty|Medium</x:v>
      </x:c>
      <x:c r="B9" t="str">
        <x:v>PX300 Severe Duty</x:v>
      </x:c>
      <x:c r="C9" t="str">
        <x:v>Medium</x:v>
      </x:c>
      <x:c r="D9" s="51" t="n">
        <x:v>565</x:v>
      </x:c>
      <x:c r="F9" t="str">
        <x:v>Voltage|240V</x:v>
      </x:c>
      <x:c r="G9" t="str">
        <x:v>Voltage</x:v>
      </x:c>
      <x:c r="H9" t="str">
        <x:v>240V</x:v>
      </x:c>
      <x:c r="I9" s="51" t="n">
        <x:v>60</x:v>
      </x:c>
    </x:row>
    <x:row r="10">
      <x:c r="A10" t="str">
        <x:v>PX300 Severe Duty|Large</x:v>
      </x:c>
      <x:c r="B10" t="str">
        <x:v>PX300 Severe Duty</x:v>
      </x:c>
      <x:c r="C10" t="str">
        <x:v>Large</x:v>
      </x:c>
      <x:c r="D10" s="51" t="n">
        <x:v>725</x:v>
      </x:c>
      <x:c r="F10" t="str">
        <x:v>Voltage|480V</x:v>
      </x:c>
      <x:c r="G10" t="str">
        <x:v>Voltage</x:v>
      </x:c>
      <x:c r="H10" t="str">
        <x:v>480V</x:v>
      </x:c>
      <x:c r="I10" s="51" t="n">
        <x:v>95</x:v>
      </x:c>
    </x:row>
    <x:row r="11">
      <x:c r="D11" s="51"/>
      <x:c r="F11" t="str">
        <x:v>Mounting|Floor</x:v>
      </x:c>
      <x:c r="G11" t="str">
        <x:v>Mounting</x:v>
      </x:c>
      <x:c r="H11" t="str">
        <x:v>Floor</x:v>
      </x:c>
      <x:c r="I11" s="51" t="n">
        <x:v>70</x:v>
      </x:c>
    </x:row>
    <x:row r="12">
      <x:c r="D12" s="51"/>
      <x:c r="F12" t="str">
        <x:v>Mounting|Wall</x:v>
      </x:c>
      <x:c r="G12" t="str">
        <x:v>Mounting</x:v>
      </x:c>
      <x:c r="H12" t="str">
        <x:v>Wall</x:v>
      </x:c>
      <x:c r="I12" s="51" t="n">
        <x:v>45</x:v>
      </x:c>
    </x:row>
    <x:row r="13">
      <x:c r="D13" s="51"/>
      <x:c r="F13" t="str">
        <x:v>Mounting|Skid</x:v>
      </x:c>
      <x:c r="G13" t="str">
        <x:v>Mounting</x:v>
      </x:c>
      <x:c r="H13" t="str">
        <x:v>Skid</x:v>
      </x:c>
      <x:c r="I13" s="51" t="n">
        <x:v>125</x:v>
      </x:c>
    </x:row>
    <x:row r="14">
      <x:c r="D14" s="51"/>
      <x:c r="F14" t="str">
        <x:v>Controls|Manual</x:v>
      </x:c>
      <x:c r="G14" t="str">
        <x:v>Controls</x:v>
      </x:c>
      <x:c r="H14" t="str">
        <x:v>Manual</x:v>
      </x:c>
      <x:c r="I14" s="51" t="n">
        <x:v>25</x:v>
      </x:c>
    </x:row>
    <x:row r="15">
      <x:c r="D15" s="51"/>
      <x:c r="F15" t="str">
        <x:v>Controls|Digital</x:v>
      </x:c>
      <x:c r="G15" t="str">
        <x:v>Controls</x:v>
      </x:c>
      <x:c r="H15" t="str">
        <x:v>Digital</x:v>
      </x:c>
      <x:c r="I15" s="51" t="n">
        <x:v>150</x:v>
      </x:c>
    </x:row>
    <x:row r="16">
      <x:c r="D16" s="51"/>
      <x:c r="F16" t="str">
        <x:v>Controls|PLC Ready</x:v>
      </x:c>
      <x:c r="G16" t="str">
        <x:v>Controls</x:v>
      </x:c>
      <x:c r="H16" t="str">
        <x:v>PLC Ready</x:v>
      </x:c>
      <x:c r="I16" s="51" t="n">
        <x:v>220</x:v>
      </x:c>
    </x:row>
    <x:row r="17">
      <x:c r="D17" s="51"/>
      <x:c r="F17" t="str">
        <x:v>Packaging|Standard</x:v>
      </x:c>
      <x:c r="G17" t="str">
        <x:v>Packaging</x:v>
      </x:c>
      <x:c r="H17" t="str">
        <x:v>Standard</x:v>
      </x:c>
      <x:c r="I17" s="51" t="n">
        <x:v>40</x:v>
      </x:c>
    </x:row>
    <x:row r="18">
      <x:c r="D18" s="51"/>
      <x:c r="F18" t="str">
        <x:v>Packaging|Export Crate</x:v>
      </x:c>
      <x:c r="G18" t="str">
        <x:v>Packaging</x:v>
      </x:c>
      <x:c r="H18" t="str">
        <x:v>Export Crate</x:v>
      </x:c>
      <x:c r="I18" s="51" t="n">
        <x:v>160</x:v>
      </x:c>
    </x:row>
    <x:row r="19">
      <x:c r="D19" s="51"/>
      <x:c r="F19" t="str">
        <x:v>Warranty|1 Year</x:v>
      </x:c>
      <x:c r="G19" t="str">
        <x:v>Warranty</x:v>
      </x:c>
      <x:c r="H19" t="str">
        <x:v>1 Year</x:v>
      </x:c>
      <x:c r="I19" s="51" t="n">
        <x:v>0</x:v>
      </x:c>
    </x:row>
    <x:row r="20">
      <x:c r="D20" s="51"/>
      <x:c r="F20" t="str">
        <x:v>Warranty|2 Years</x:v>
      </x:c>
      <x:c r="G20" t="str">
        <x:v>Warranty</x:v>
      </x:c>
      <x:c r="H20" t="str">
        <x:v>2 Years</x:v>
      </x:c>
      <x:c r="I20" s="51" t="n">
        <x:v>50</x:v>
      </x:c>
    </x:row>
    <x:row r="21">
      <x:c r="F21" t="str">
        <x:v>Warranty|3 Years</x:v>
      </x:c>
      <x:c r="G21" t="str">
        <x:v>Warranty</x:v>
      </x:c>
      <x:c r="H21" t="str">
        <x:v>3 Years</x:v>
      </x:c>
      <x:c r="I21" s="51" t="n">
        <x:v>100</x:v>
      </x:c>
    </x:row>
    <x:row r="22">
      <x:c r="I22" s="51"/>
    </x:row>
    <x:row r="23">
      <x:c r="I23" s="51"/>
    </x:row>
    <x:row r="24">
      <x:c r="I24" s="51"/>
    </x:row>
    <x:row r="25">
      <x:c r="I25" s="51"/>
    </x:row>
    <x:row r="26">
      <x:c r="I26" s="51"/>
    </x:row>
    <x:row r="27">
      <x:c r="I27" s="51"/>
    </x:row>
    <x:row r="28">
      <x:c r="I28" s="51"/>
    </x:row>
    <x:row r="29">
      <x:c r="I29" s="51"/>
    </x:row>
    <x:row r="30">
      <x:c r="I30" s="51"/>
    </x:row>
    <x:row r="31">
      <x:c r="I31" s="51"/>
    </x:row>
    <x:row r="32">
      <x:c r="I32" s="51"/>
    </x:row>
    <x:row r="33">
      <x:c r="I33" s="51"/>
    </x:row>
    <x:row r="34">
      <x:c r="I34" s="51"/>
    </x:row>
    <x:row r="35">
      <x:c r="I35" s="51"/>
    </x:row>
    <x:row r="36">
      <x:c r="I36" s="51"/>
    </x:row>
    <x:row r="37">
      <x:c r="I37" s="51"/>
    </x:row>
    <x:row r="38">
      <x:c r="I38" s="51"/>
    </x:row>
    <x:row r="39">
      <x:c r="I39" s="51"/>
    </x:row>
    <x:row r="40">
      <x:c r="I40" s="51"/>
    </x:row>
    <x:row r="41">
      <x:c r="I41" s="51"/>
    </x:row>
    <x:row r="42">
      <x:c r="I42" s="51"/>
    </x:row>
    <x:row r="43">
      <x:c r="I43" s="51"/>
    </x:row>
    <x:row r="44">
      <x:c r="I44" s="51"/>
    </x:row>
    <x:row r="45">
      <x:c r="I45" s="51"/>
    </x:row>
    <x:row r="46">
      <x:c r="I46" s="51"/>
    </x:row>
    <x:row r="47">
      <x:c r="I47" s="51"/>
    </x:row>
    <x:row r="48">
      <x:c r="I48" s="51"/>
    </x:row>
    <x:row r="49">
      <x:c r="I49" s="51"/>
    </x:row>
    <x:row r="50">
      <x:c r="I50" s="51"/>
    </x:row>
  </x:sheetData>
  <x:pageMargins left="0.7" right="0.7" top="0.75" bottom="0.75" header="0.3" footer="0.3"/>
  <x:tableParts count="2">
    <x:tablePart xmlns:r="http://schemas.openxmlformats.org/officeDocument/2006/relationships" r:id="R63ca9e4f3f794e7f"/>
    <x:tablePart xmlns:r="http://schemas.openxmlformats.org/officeDocument/2006/relationships" r:id="Rd90ea1feb7874f59"/>
  </x:tableParts>
</x:worksheet>
</file>